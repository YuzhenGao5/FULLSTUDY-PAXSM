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4ba5cad93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 Ready" sheetId="1" r:id="R4abb2c05c8e7430f"/>
    <x:sheet xmlns:r="http://schemas.openxmlformats.org/officeDocument/2006/relationships" name="Comparison Summary" sheetId="2" r:id="Rf94b1a00bcad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0.000"/>
    <x:numFmt numFmtId="202" formatCode="0.0%"/>
    <x:numFmt numFmtId="203" formatCode="0"/>
    <x:numFmt numFmtId="204" formatCode="0.0"/>
  </x:numFmts>
  <x:fonts count="8">
    <x:font>
      <x:sz val="11"/>
      <x:name val="Carlito"/>
    </x:font>
    <x:font>
      <x:b/>
      <x:sz val="18"/>
      <x:color rgb="FFFFFFFF"/>
      <x:name val="Aptos Display"/>
    </x:font>
    <x:font>
      <x:sz val="10"/>
      <x:name val="Aptos"/>
    </x:font>
    <x:font>
      <x:b/>
      <x:sz val="10"/>
      <x:color rgb="FF1F1F1F"/>
      <x:name val="Aptos"/>
    </x:font>
    <x:font>
      <x:b/>
      <x:sz val="12"/>
      <x:color rgb="FFFFFFFF"/>
      <x:name val="Aptos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32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right style="thin">
        <x:color rgb="FFA9D18E"/>
      </x:right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bottom style="thin">
        <x:color rgb="FFD9E2F3"/>
      </x:bottom>
    </x:border>
    <x:border>
      <x:left style="thin">
        <x:color rgb="FFA9D18E"/>
      </x:left>
      <x:right style="thin">
        <x:color rgb="FFD9E2F3"/>
      </x:right>
      <x:bottom style="thin">
        <x:color rgb="FFD9E2F3"/>
      </x:bottom>
    </x:border>
    <x:border>
      <x:right style="thin">
        <x:color rgb="FFA9D18E"/>
      </x:right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bottom style="thin">
        <x:color rgb="FFD9E2F3"/>
      </x:bottom>
    </x:border>
    <x:border>
      <x:left style="thin">
        <x:color rgb="FFA9D18E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20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200" fontId="2" fillId="0" borderId="12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200" fontId="2" fillId="0" borderId="12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20" xfId="0" applyNumberFormat="1" applyFont="1" applyFill="1" applyBorder="1" applyAlignment="1">
      <x:alignment vertical="center"/>
    </x:xf>
    <x:xf numFmtId="0" fontId="3" fillId="3" borderId="21" xfId="0" applyNumberFormat="1" applyFont="1" applyFill="1" applyBorder="1" applyAlignment="1">
      <x:alignment vertical="center"/>
    </x:xf>
    <x:xf numFmtId="0" fontId="3" fillId="3" borderId="22" xfId="0" applyNumberFormat="1" applyFont="1" applyFill="1" applyBorder="1" applyAlignment="1">
      <x:alignment vertical="center"/>
    </x:xf>
    <x:xf numFmtId="0" fontId="3" fillId="3" borderId="23" xfId="0" applyNumberFormat="1" applyFont="1" applyFill="1" applyBorder="1" applyAlignment="1">
      <x:alignment vertical="center"/>
    </x:xf>
    <x:xf numFmtId="0" fontId="3" fillId="3" borderId="24" xfId="0" applyNumberFormat="1" applyFont="1" applyFill="1" applyBorder="1" applyAlignment="1">
      <x:alignment vertical="center"/>
    </x:xf>
    <x:xf numFmtId="0" fontId="3" fillId="3" borderId="25" xfId="0" applyNumberFormat="1" applyFont="1" applyFill="1" applyBorder="1" applyAlignment="1">
      <x:alignment vertical="center"/>
    </x:xf>
    <x:xf numFmtId="201" fontId="2" fillId="0" borderId="15" xfId="0" applyNumberFormat="1" applyFont="1" applyFill="1" applyBorder="1" applyAlignment="1">
      <x:alignment vertical="center"/>
    </x:xf>
    <x:xf numFmtId="201" fontId="2" fillId="0" borderId="1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horizontal="right" vertical="center"/>
    </x:xf>
    <x:xf numFmtId="201" fontId="2" fillId="0" borderId="1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0" fontId="2" fillId="0" borderId="18" xfId="0" applyNumberFormat="1" applyFont="1" applyFill="1" applyBorder="1" applyAlignment="1">
      <x:alignment horizontal="right" vertical="center"/>
    </x:xf>
    <x:xf numFmtId="201" fontId="2" fillId="0" borderId="18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horizontal="right" vertical="center"/>
    </x:xf>
    <x:xf numFmtId="202" fontId="2" fillId="0" borderId="15" xfId="0" applyNumberFormat="1" applyFont="1" applyFill="1" applyBorder="1" applyAlignment="1">
      <x:alignment horizontal="right" vertical="center"/>
    </x:xf>
    <x:xf numFmtId="202" fontId="2" fillId="0" borderId="18" xfId="0" applyNumberFormat="1" applyFont="1" applyFill="1" applyBorder="1" applyAlignment="1">
      <x:alignment horizontal="right" vertical="center"/>
    </x:xf>
    <x:xf numFmtId="203" fontId="2" fillId="0" borderId="6" xfId="0" applyNumberFormat="1" applyFont="1" applyFill="1" applyBorder="1" applyAlignment="1">
      <x:alignment horizontal="right" vertical="center"/>
    </x:xf>
    <x:xf numFmtId="203" fontId="2" fillId="0" borderId="12" xfId="0" applyNumberFormat="1" applyFont="1" applyFill="1" applyBorder="1" applyAlignment="1">
      <x:alignment horizontal="right" vertical="center"/>
    </x:xf>
    <x:xf numFmtId="204" fontId="2" fillId="0" borderId="15" xfId="0" applyNumberFormat="1" applyFont="1" applyFill="1" applyBorder="1" applyAlignment="1">
      <x:alignment vertical="center"/>
    </x:xf>
    <x:xf numFmtId="204" fontId="2" fillId="0" borderId="16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4" fontId="2" fillId="0" borderId="7" xfId="0" applyNumberFormat="1" applyFont="1" applyFill="1" applyBorder="1" applyAlignment="1">
      <x:alignment vertical="center"/>
    </x:xf>
    <x:xf numFmtId="204" fontId="2" fillId="0" borderId="18" xfId="0" applyNumberFormat="1" applyFont="1" applyFill="1" applyBorder="1" applyAlignment="1">
      <x:alignment vertical="center"/>
    </x:xf>
    <x:xf numFmtId="204" fontId="2" fillId="0" borderId="19" xfId="0" applyNumberFormat="1" applyFont="1" applyFill="1" applyBorder="1" applyAlignment="1">
      <x:alignment vertical="center"/>
    </x:xf>
    <x:xf numFmtId="204" fontId="2" fillId="0" borderId="12" xfId="0" applyNumberFormat="1" applyFont="1" applyFill="1" applyBorder="1" applyAlignment="1">
      <x:alignment vertical="center"/>
    </x:xf>
    <x:xf numFmtId="204" fontId="2" fillId="0" borderId="1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26" xfId="0" applyNumberFormat="1" applyFont="1" applyFill="1" applyBorder="1"/>
    <x:xf numFmtId="0" fontId="3" fillId="6" borderId="27" xfId="0" applyNumberFormat="1" applyFont="1" applyFill="1" applyBorder="1"/>
    <x:xf numFmtId="0" fontId="3" fillId="6" borderId="28" xfId="0" applyNumberFormat="1" applyFont="1" applyFill="1" applyBorder="1"/>
    <x:xf numFmtId="0" fontId="3" fillId="6" borderId="29" xfId="0" applyNumberFormat="1" applyFont="1" applyFill="1" applyBorder="1"/>
    <x:xf numFmtId="0" fontId="3" fillId="6" borderId="30" xfId="0" applyNumberFormat="1" applyFont="1" applyFill="1" applyBorder="1"/>
    <x:xf numFmtId="0" fontId="3" fillId="6" borderId="31" xfId="0" applyNumberFormat="1" applyFont="1" applyFill="1" applyBorder="1"/>
    <x:xf numFmtId="203" fontId="2" fillId="0" borderId="15" xfId="0" applyNumberFormat="1" applyFont="1" applyFill="1" applyBorder="1"/>
    <x:xf numFmtId="203" fontId="2" fillId="0" borderId="16" xfId="0" applyNumberFormat="1" applyFont="1" applyFill="1" applyBorder="1"/>
    <x:xf numFmtId="203" fontId="2" fillId="0" borderId="6" xfId="0" applyNumberFormat="1" applyFont="1" applyFill="1" applyBorder="1"/>
    <x:xf numFmtId="203" fontId="2" fillId="0" borderId="7" xfId="0" applyNumberFormat="1" applyFont="1" applyFill="1" applyBorder="1"/>
    <x:xf numFmtId="203" fontId="2" fillId="0" borderId="18" xfId="0" applyNumberFormat="1" applyFont="1" applyFill="1" applyBorder="1"/>
    <x:xf numFmtId="203" fontId="2" fillId="0" borderId="19" xfId="0" applyNumberFormat="1" applyFont="1" applyFill="1" applyBorder="1"/>
    <x:xf numFmtId="203" fontId="2" fillId="0" borderId="12" xfId="0" applyNumberFormat="1" applyFont="1" applyFill="1" applyBorder="1"/>
    <x:xf numFmtId="203" fontId="2" fillId="0" borderId="13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3" fillId="3" borderId="2" xfId="0" applyNumberFormat="1" applyFont="1" applyFill="1" applyBorder="1" applyAlignment="1">
      <x:alignment vertical="center" wrapText="0"/>
    </x:xf>
    <x:xf numFmtId="0" fontId="2" fillId="0" borderId="3" xfId="0" applyNumberFormat="1" applyFont="1" applyFill="1" applyBorder="1" applyAlignment="1">
      <x:alignment vertical="center" wrapText="0"/>
    </x:xf>
    <x:xf numFmtId="0" fontId="3" fillId="3" borderId="3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vertical="center" wrapText="0"/>
    </x:xf>
    <x:xf numFmtId="0" fontId="3" fillId="3" borderId="5" xfId="0" applyNumberFormat="1" applyFont="1" applyFill="1" applyBorder="1" applyAlignment="1">
      <x:alignment vertical="center" wrapText="0"/>
    </x:xf>
    <x:xf numFmtId="200" fontId="2" fillId="0" borderId="6" xfId="0" applyNumberFormat="1" applyFont="1" applyFill="1" applyBorder="1" applyAlignment="1">
      <x:alignment vertical="center" wrapText="0"/>
    </x:xf>
    <x:xf numFmtId="0" fontId="3" fillId="3" borderId="6" xfId="0" applyNumberFormat="1" applyFont="1" applyFill="1" applyBorder="1" applyAlignment="1">
      <x:alignment vertical="center" wrapText="0"/>
    </x:xf>
    <x:xf numFmtId="0" fontId="2" fillId="0" borderId="6" xfId="0" applyNumberFormat="1" applyFont="1" applyFill="1" applyBorder="1" applyAlignment="1">
      <x:alignment vertical="center" wrapText="0"/>
    </x:xf>
    <x:xf numFmtId="0" fontId="2" fillId="0" borderId="7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wrapText="0"/>
    </x:xf>
    <x:xf numFmtId="0" fontId="3" fillId="3" borderId="20" xfId="0" applyNumberFormat="1" applyFont="1" applyFill="1" applyBorder="1" applyAlignment="1">
      <x:alignment vertical="center" wrapText="0"/>
    </x:xf>
    <x:xf numFmtId="0" fontId="3" fillId="3" borderId="21" xfId="0" applyNumberFormat="1" applyFont="1" applyFill="1" applyBorder="1" applyAlignment="1">
      <x:alignment vertical="center" wrapText="0"/>
    </x:xf>
    <x:xf numFmtId="0" fontId="3" fillId="3" borderId="22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202" fontId="2" fillId="0" borderId="15" xfId="0" applyNumberFormat="1" applyFont="1" applyFill="1" applyBorder="1" applyAlignment="1">
      <x:alignment horizontal="right"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201" fontId="2" fillId="0" borderId="15" xfId="0" applyNumberFormat="1" applyFont="1" applyFill="1" applyBorder="1" applyAlignment="1">
      <x:alignment horizontal="right"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203" fontId="2" fillId="0" borderId="6" xfId="0" applyNumberFormat="1" applyFont="1" applyFill="1" applyBorder="1" applyAlignment="1">
      <x:alignment horizontal="right" vertical="center" wrapText="0"/>
    </x:xf>
    <x:xf numFmtId="204" fontId="2" fillId="0" borderId="15" xfId="0" applyNumberFormat="1" applyFont="1" applyFill="1" applyBorder="1" applyAlignment="1">
      <x:alignment vertical="center" wrapText="0"/>
    </x:xf>
    <x:xf numFmtId="204" fontId="2" fillId="0" borderId="16" xfId="0" applyNumberFormat="1" applyFont="1" applyFill="1" applyBorder="1" applyAlignment="1">
      <x:alignment vertical="center" wrapText="0"/>
    </x:xf>
    <x:xf numFmtId="204" fontId="2" fillId="0" borderId="6" xfId="0" applyNumberFormat="1" applyFont="1" applyFill="1" applyBorder="1" applyAlignment="1">
      <x:alignment vertical="center" wrapText="0"/>
    </x:xf>
    <x:xf numFmtId="204" fontId="2" fillId="0" borderId="7" xfId="0" applyNumberFormat="1" applyFont="1" applyFill="1" applyBorder="1" applyAlignment="1">
      <x:alignment vertical="center" wrapText="0"/>
    </x:xf>
    <x:xf numFmtId="0" fontId="4" fillId="5" borderId="0" xfId="0" applyNumberFormat="1" applyFont="1" applyFill="1" applyBorder="1" applyAlignment="1">
      <x:alignment wrapText="0"/>
    </x:xf>
    <x:xf numFmtId="0" fontId="3" fillId="6" borderId="26" xfId="0" applyNumberFormat="1" applyFont="1" applyFill="1" applyBorder="1" applyAlignment="1">
      <x:alignment wrapText="0"/>
    </x:xf>
    <x:xf numFmtId="0" fontId="3" fillId="6" borderId="27" xfId="0" applyNumberFormat="1" applyFont="1" applyFill="1" applyBorder="1" applyAlignment="1">
      <x:alignment wrapText="0"/>
    </x:xf>
    <x:xf numFmtId="0" fontId="3" fillId="6" borderId="28" xfId="0" applyNumberFormat="1" applyFont="1" applyFill="1" applyBorder="1" applyAlignment="1">
      <x:alignment wrapText="0"/>
    </x:xf>
    <x:xf numFmtId="0" fontId="2" fillId="0" borderId="14" xfId="0" applyNumberFormat="1" applyFont="1" applyFill="1" applyBorder="1" applyAlignment="1">
      <x:alignment wrapText="0"/>
    </x:xf>
    <x:xf numFmtId="203" fontId="2" fillId="0" borderId="15" xfId="0" applyNumberFormat="1" applyFont="1" applyFill="1" applyBorder="1" applyAlignment="1">
      <x:alignment wrapText="0"/>
    </x:xf>
    <x:xf numFmtId="203" fontId="2" fillId="0" borderId="16" xfId="0" applyNumberFormat="1" applyFont="1" applyFill="1" applyBorder="1" applyAlignment="1">
      <x:alignment wrapText="0"/>
    </x:xf>
    <x:xf numFmtId="0" fontId="2" fillId="0" borderId="5" xfId="0" applyNumberFormat="1" applyFont="1" applyFill="1" applyBorder="1" applyAlignment="1">
      <x:alignment wrapText="0"/>
    </x:xf>
    <x:xf numFmtId="203" fontId="2" fillId="0" borderId="6" xfId="0" applyNumberFormat="1" applyFont="1" applyFill="1" applyBorder="1" applyAlignment="1">
      <x:alignment wrapText="0"/>
    </x:xf>
    <x:xf numFmtId="203" fontId="2" fillId="0" borderId="7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3" fillId="3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3" fillId="3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3" fillId="3" borderId="11" xfId="0" applyNumberFormat="1" applyFont="1" applyFill="1" applyBorder="1" applyAlignment="1">
      <x:alignment vertical="center" wrapText="0"/>
    </x:xf>
    <x:xf numFmtId="200" fontId="2" fillId="0" borderId="12" xfId="0" applyNumberFormat="1" applyFont="1" applyFill="1" applyBorder="1" applyAlignment="1">
      <x:alignment vertical="center" wrapText="0"/>
    </x:xf>
    <x:xf numFmtId="0" fontId="3" fillId="3" borderId="12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wrapText="0"/>
    </x:xf>
    <x:xf numFmtId="0" fontId="3" fillId="3" borderId="23" xfId="0" applyNumberFormat="1" applyFont="1" applyFill="1" applyBorder="1" applyAlignment="1">
      <x:alignment vertical="center" wrapText="0"/>
    </x:xf>
    <x:xf numFmtId="0" fontId="3" fillId="3" borderId="24" xfId="0" applyNumberFormat="1" applyFont="1" applyFill="1" applyBorder="1" applyAlignment="1">
      <x:alignment vertical="center" wrapText="0"/>
    </x:xf>
    <x:xf numFmtId="0" fontId="3" fillId="3" borderId="25" xfId="0" applyNumberFormat="1" applyFont="1" applyFill="1" applyBorder="1" applyAlignment="1">
      <x:alignment vertical="center" wrapText="0"/>
    </x:xf>
    <x:xf numFmtId="0" fontId="2" fillId="0" borderId="17" xfId="0" applyNumberFormat="1" applyFont="1" applyFill="1" applyBorder="1" applyAlignment="1">
      <x:alignment vertical="center" wrapText="0"/>
    </x:xf>
    <x:xf numFmtId="202" fontId="2" fillId="0" borderId="18" xfId="0" applyNumberFormat="1" applyFont="1" applyFill="1" applyBorder="1" applyAlignment="1">
      <x:alignment horizontal="right" vertical="center" wrapText="0"/>
    </x:xf>
    <x:xf numFmtId="0" fontId="2" fillId="0" borderId="19" xfId="0" applyNumberFormat="1" applyFont="1" applyFill="1" applyBorder="1" applyAlignment="1">
      <x:alignment vertical="center" wrapText="0"/>
    </x:xf>
    <x:xf numFmtId="201" fontId="2" fillId="0" borderId="18" xfId="0" applyNumberFormat="1" applyFont="1" applyFill="1" applyBorder="1" applyAlignment="1">
      <x:alignment horizontal="right"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203" fontId="2" fillId="0" borderId="12" xfId="0" applyNumberFormat="1" applyFont="1" applyFill="1" applyBorder="1" applyAlignment="1">
      <x:alignment horizontal="right" vertical="center" wrapText="0"/>
    </x:xf>
    <x:xf numFmtId="204" fontId="2" fillId="0" borderId="18" xfId="0" applyNumberFormat="1" applyFont="1" applyFill="1" applyBorder="1" applyAlignment="1">
      <x:alignment vertical="center" wrapText="0"/>
    </x:xf>
    <x:xf numFmtId="204" fontId="2" fillId="0" borderId="19" xfId="0" applyNumberFormat="1" applyFont="1" applyFill="1" applyBorder="1" applyAlignment="1">
      <x:alignment vertical="center" wrapText="0"/>
    </x:xf>
    <x:xf numFmtId="204" fontId="2" fillId="0" borderId="12" xfId="0" applyNumberFormat="1" applyFont="1" applyFill="1" applyBorder="1" applyAlignment="1">
      <x:alignment vertical="center" wrapText="0"/>
    </x:xf>
    <x:xf numFmtId="204" fontId="2" fillId="0" borderId="13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wrapText="0"/>
    </x:xf>
    <x:xf numFmtId="0" fontId="3" fillId="6" borderId="29" xfId="0" applyNumberFormat="1" applyFont="1" applyFill="1" applyBorder="1" applyAlignment="1">
      <x:alignment wrapText="0"/>
    </x:xf>
    <x:xf numFmtId="0" fontId="3" fillId="6" borderId="30" xfId="0" applyNumberFormat="1" applyFont="1" applyFill="1" applyBorder="1" applyAlignment="1">
      <x:alignment wrapText="0"/>
    </x:xf>
    <x:xf numFmtId="0" fontId="3" fillId="6" borderId="31" xfId="0" applyNumberFormat="1" applyFont="1" applyFill="1" applyBorder="1" applyAlignment="1">
      <x:alignment wrapText="0"/>
    </x:xf>
    <x:xf numFmtId="0" fontId="2" fillId="0" borderId="17" xfId="0" applyNumberFormat="1" applyFont="1" applyFill="1" applyBorder="1" applyAlignment="1">
      <x:alignment wrapText="0"/>
    </x:xf>
    <x:xf numFmtId="203" fontId="2" fillId="0" borderId="18" xfId="0" applyNumberFormat="1" applyFont="1" applyFill="1" applyBorder="1" applyAlignment="1">
      <x:alignment wrapText="0"/>
    </x:xf>
    <x:xf numFmtId="203" fontId="2" fillId="0" borderId="19" xfId="0" applyNumberFormat="1" applyFont="1" applyFill="1" applyBorder="1" applyAlignment="1">
      <x:alignment wrapText="0"/>
    </x:xf>
    <x:xf numFmtId="0" fontId="2" fillId="0" borderId="11" xfId="0" applyNumberFormat="1" applyFont="1" applyFill="1" applyBorder="1" applyAlignment="1">
      <x:alignment wrapText="0"/>
    </x:xf>
    <x:xf numFmtId="203" fontId="2" fillId="0" borderId="12" xfId="0" applyNumberFormat="1" applyFont="1" applyFill="1" applyBorder="1" applyAlignment="1">
      <x:alignment wrapText="0"/>
    </x:xf>
    <x:xf numFmtId="203" fontId="2" fillId="0" borderId="13" xfId="0" applyNumberFormat="1" applyFont="1" applyFill="1" applyBorder="1" applyAlignment="1">
      <x:alignment wrapText="0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7" fillId="2" borderId="4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200" fontId="6" fillId="0" borderId="15" xfId="0" applyNumberFormat="1" applyFont="1" applyFill="1" applyBorder="1" applyAlignment="1">
      <x:alignment vertical="center"/>
    </x:xf>
    <x:xf numFmtId="0" fontId="6" fillId="0" borderId="16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8cdc6b4054f5e" /><Relationship Type="http://schemas.openxmlformats.org/officeDocument/2006/relationships/theme" Target="/xl/theme/theme1.xml" Id="R60d885ab9b804b88" /><Relationship Type="http://schemas.openxmlformats.org/officeDocument/2006/relationships/sharedStrings" Target="/xl/sharedStrings.xml" Id="R151e090b42294f49" /><Relationship Type="http://schemas.openxmlformats.org/officeDocument/2006/relationships/worksheet" Target="/xl/worksheets/sheet1.xml" Id="R4abb2c05c8e7430f" /><Relationship Type="http://schemas.openxmlformats.org/officeDocument/2006/relationships/worksheet" Target="/xl/worksheets/sheet2.xml" Id="Rf94b1a00bcad48d5" /></Relationships>
</file>

<file path=xl/tables/table1.xml><?xml version="1.0" encoding="utf-8"?>
<x:table xmlns:x="http://schemas.openxmlformats.org/spreadsheetml/2006/main" id="1" name="ComparisonAnalysisReadyTable" displayName="ComparisonAnalysisReadyTable" ref="A1:DK3" headerRowCount="1" totalsRowCount="0" totalsRowShown="0">
  <x:tableColumns count="115">
    <x:tableColumn id="1" name="﻿analysisSchemaVersion"/>
    <x:tableColumn id="2" name="participantId"/>
    <x:tableColumn id="3" name="sessionNumber"/>
    <x:tableColumn id="4" name="conditionLabel"/>
    <x:tableColumn id="5" name="runId"/>
    <x:tableColumn id="6" name="sequenceCode"/>
    <x:tableColumn id="7" name="method"/>
    <x:tableColumn id="8" name="methodFirstPresentationOrder"/>
    <x:tableColumn id="9" name="methodComplete"/>
    <x:tableColumn id="10" name="qualityFlags"/>
    <x:tableColumn id="11" name="exportReason"/>
    <x:tableColumn id="12" name="generatedUtc"/>
    <x:tableColumn id="13" name="inputResponseMode"/>
    <x:tableColumn id="14" name="inputItems"/>
    <x:tableColumn id="15" name="inputExactMatches"/>
    <x:tableColumn id="16" name="inputAccuracy"/>
    <x:tableColumn id="17" name="inputMeanAbsoluteError"/>
    <x:tableColumn id="18" name="inputMaxAbsoluteError"/>
    <x:tableColumn id="19" name="inputMeanAnswerRt"/>
    <x:tableColumn id="20" name="inputMedianAnswerRt"/>
    <x:tableColumn id="21" name="inputValidFirstInteractionItems"/>
    <x:tableColumn id="22" name="inputMeanFirstInteractionRt"/>
    <x:tableColumn id="23" name="inputConfirmAttempts"/>
    <x:tableColumn id="24" name="inputConfirmCancels"/>
    <x:tableColumn id="25" name="inputIncompleteItems"/>
    <x:tableColumn id="26" name="susAnsweredItems"/>
    <x:tableColumn id="27" name="susScore"/>
    <x:tableColumn id="28" name="susComplete"/>
    <x:tableColumn id="29" name="susTotalRt"/>
    <x:tableColumn id="30" name="sus01"/>
    <x:tableColumn id="31" name="sus02"/>
    <x:tableColumn id="32" name="sus03"/>
    <x:tableColumn id="33" name="sus04"/>
    <x:tableColumn id="34" name="sus05"/>
    <x:tableColumn id="35" name="sus06"/>
    <x:tableColumn id="36" name="sus07"/>
    <x:tableColumn id="37" name="sus08"/>
    <x:tableColumn id="38" name="sus09"/>
    <x:tableColumn id="39" name="sus10"/>
    <x:tableColumn id="40" name="easyPresentationOrder"/>
    <x:tableColumn id="41" name="easyForm"/>
    <x:tableColumn id="42" name="easyTaskTrials"/>
    <x:tableColumn id="43" name="easyTaskCorrect"/>
    <x:tableColumn id="44" name="easyTaskAccuracy"/>
    <x:tableColumn id="45" name="easyTaskTimeouts"/>
    <x:tableColumn id="46" name="easyTaskMeanDecisionRt"/>
    <x:tableColumn id="47" name="easyTaskMedianDecisionRt"/>
    <x:tableColumn id="48" name="easyTaskSdDecisionRt"/>
    <x:tableColumn id="49" name="easyTaskTotalDecisionRt"/>
    <x:tableColumn id="50" name="easyTaskMeanPointerPath"/>
    <x:tableColumn id="51" name="easyTaskMeanPointerPeakSpeed"/>
    <x:tableColumn id="52" name="easyTaskMeanHoverChanges"/>
    <x:tableColumn id="53" name="easyNasaResponseMode"/>
    <x:tableColumn id="54" name="easyNasaItems"/>
    <x:tableColumn id="55" name="easyNasaComplete"/>
    <x:tableColumn id="56" name="easyNasaMental"/>
    <x:tableColumn id="57" name="easyNasaPhysical"/>
    <x:tableColumn id="58" name="easyNasaTemporal"/>
    <x:tableColumn id="59" name="easyNasaPerformance"/>
    <x:tableColumn id="60" name="easyNasaEffort"/>
    <x:tableColumn id="61" name="easyNasaFrustration"/>
    <x:tableColumn id="62" name="easyNasaRawMean"/>
    <x:tableColumn id="63" name="easyConfidenceComplete"/>
    <x:tableColumn id="64" name="easyConfidenceMean"/>
    <x:tableColumn id="65" name="easyConfidenceMental"/>
    <x:tableColumn id="66" name="easyConfidencePhysical"/>
    <x:tableColumn id="67" name="easyConfidenceTemporal"/>
    <x:tableColumn id="68" name="easyConfidencePerformance"/>
    <x:tableColumn id="69" name="easyConfidenceEffort"/>
    <x:tableColumn id="70" name="easyConfidenceFrustration"/>
    <x:tableColumn id="71" name="easyQuestionnaireMeanReadRt"/>
    <x:tableColumn id="72" name="easyQuestionnaireMeanAnswerRt"/>
    <x:tableColumn id="73" name="easyQuestionnaireMeanAnswerDecisionRt"/>
    <x:tableColumn id="74" name="easyQuestionnaireMeanConfidenceRt"/>
    <x:tableColumn id="75" name="easyQuestionnaireTotalRt"/>
    <x:tableColumn id="76" name="easyAnswerConfirmAttempts"/>
    <x:tableColumn id="77" name="easyAnswerConfirmCancels"/>
    <x:tableColumn id="78" name="hardPresentationOrder"/>
    <x:tableColumn id="79" name="hardForm"/>
    <x:tableColumn id="80" name="hardTaskTrials"/>
    <x:tableColumn id="81" name="hardTaskCorrect"/>
    <x:tableColumn id="82" name="hardTaskAccuracy"/>
    <x:tableColumn id="83" name="hardTaskTimeouts"/>
    <x:tableColumn id="84" name="hardTaskMeanDecisionRt"/>
    <x:tableColumn id="85" name="hardTaskMedianDecisionRt"/>
    <x:tableColumn id="86" name="hardTaskSdDecisionRt"/>
    <x:tableColumn id="87" name="hardTaskTotalDecisionRt"/>
    <x:tableColumn id="88" name="hardTaskMeanPointerPath"/>
    <x:tableColumn id="89" name="hardTaskMeanPointerPeakSpeed"/>
    <x:tableColumn id="90" name="hardTaskMeanHoverChanges"/>
    <x:tableColumn id="91" name="hardNasaResponseMode"/>
    <x:tableColumn id="92" name="hardNasaItems"/>
    <x:tableColumn id="93" name="hardNasaComplete"/>
    <x:tableColumn id="94" name="hardNasaMental"/>
    <x:tableColumn id="95" name="hardNasaPhysical"/>
    <x:tableColumn id="96" name="hardNasaTemporal"/>
    <x:tableColumn id="97" name="hardNasaPerformance"/>
    <x:tableColumn id="98" name="hardNasaEffort"/>
    <x:tableColumn id="99" name="hardNasaFrustration"/>
    <x:tableColumn id="100" name="hardNasaRawMean"/>
    <x:tableColumn id="101" name="hardConfidenceComplete"/>
    <x:tableColumn id="102" name="hardConfidenceMean"/>
    <x:tableColumn id="103" name="hardConfidenceMental"/>
    <x:tableColumn id="104" name="hardConfidencePhysical"/>
    <x:tableColumn id="105" name="hardConfidenceTemporal"/>
    <x:tableColumn id="106" name="hardConfidencePerformance"/>
    <x:tableColumn id="107" name="hardConfidenceEffort"/>
    <x:tableColumn id="108" name="hardConfidenceFrustration"/>
    <x:tableColumn id="109" name="hardQuestionnaireMeanReadRt"/>
    <x:tableColumn id="110" name="hardQuestionnaireMeanAnswerRt"/>
    <x:tableColumn id="111" name="hardQuestionnaireMeanAnswerDecisionRt"/>
    <x:tableColumn id="112" name="hardQuestionnaireMeanConfidenceRt"/>
    <x:tableColumn id="113" name="hardQuestionnaireTotalRt"/>
    <x:tableColumn id="114" name="hardAnswerConfirmAttempts"/>
    <x:tableColumn id="115" name="hardAnswerConfirmCance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7d660bf53144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2" hidden="0" customWidth="1"/>
    <x:col min="4" max="4" width="20" hidden="0" customWidth="1"/>
    <x:col min="5" max="5" width="29" hidden="0" customWidth="1"/>
    <x:col min="6" max="6" width="45" hidden="0" customWidth="1"/>
    <x:col min="7" max="7" width="16" hidden="0" customWidth="1"/>
    <x:col min="8" max="8" width="18" hidden="0" customWidth="1"/>
    <x:col min="9" max="9" width="18" hidden="0" customWidth="1"/>
    <x:col min="10" max="10" width="24" hidden="0" customWidth="1"/>
    <x:col min="11" max="11" width="15" hidden="0" customWidth="1"/>
    <x:col min="12" max="12" width="22" hidden="0" customWidth="1"/>
    <x:col min="13" max="13" width="2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</x:cols>
  <x:sheetData>
    <x:row r="1" ht="60" customHeight="1">
      <x:c r="A1" s="258" t="str">
        <x:v>﻿analysisSchemaVersion</x:v>
      </x:c>
      <x:c r="B1" s="259" t="str">
        <x:v>participantId</x:v>
      </x:c>
      <x:c r="C1" s="259" t="str">
        <x:v>sessionNumber</x:v>
      </x:c>
      <x:c r="D1" s="259" t="str">
        <x:v>conditionLabel</x:v>
      </x:c>
      <x:c r="E1" s="259" t="str">
        <x:v>runId</x:v>
      </x:c>
      <x:c r="F1" s="259" t="str">
        <x:v>sequenceCode</x:v>
      </x:c>
      <x:c r="G1" s="259" t="str">
        <x:v>method</x:v>
      </x:c>
      <x:c r="H1" s="259" t="str">
        <x:v>methodFirstPresentationOrder</x:v>
      </x:c>
      <x:c r="I1" s="259" t="str">
        <x:v>methodComplete</x:v>
      </x:c>
      <x:c r="J1" s="259" t="str">
        <x:v>qualityFlags</x:v>
      </x:c>
      <x:c r="K1" s="259" t="str">
        <x:v>exportReason</x:v>
      </x:c>
      <x:c r="L1" s="259" t="str">
        <x:v>generatedUtc</x:v>
      </x:c>
      <x:c r="M1" s="259" t="str">
        <x:v>inputResponseMode</x:v>
      </x:c>
      <x:c r="N1" s="259" t="str">
        <x:v>inputItems</x:v>
      </x:c>
      <x:c r="O1" s="259" t="str">
        <x:v>inputExactMatches</x:v>
      </x:c>
      <x:c r="P1" s="259" t="str">
        <x:v>inputAccuracy</x:v>
      </x:c>
      <x:c r="Q1" s="259" t="str">
        <x:v>inputMeanAbsoluteError</x:v>
      </x:c>
      <x:c r="R1" s="259" t="str">
        <x:v>inputMaxAbsoluteError</x:v>
      </x:c>
      <x:c r="S1" s="259" t="str">
        <x:v>inputMeanAnswerRt</x:v>
      </x:c>
      <x:c r="T1" s="259" t="str">
        <x:v>inputMedianAnswerRt</x:v>
      </x:c>
      <x:c r="U1" s="259" t="str">
        <x:v>inputValidFirstInteractionItems</x:v>
      </x:c>
      <x:c r="V1" s="259" t="str">
        <x:v>inputMeanFirstInteractionRt</x:v>
      </x:c>
      <x:c r="W1" s="259" t="str">
        <x:v>inputConfirmAttempts</x:v>
      </x:c>
      <x:c r="X1" s="259" t="str">
        <x:v>inputConfirmCancels</x:v>
      </x:c>
      <x:c r="Y1" s="259" t="str">
        <x:v>inputIncompleteItems</x:v>
      </x:c>
      <x:c r="Z1" s="259" t="str">
        <x:v>susAnsweredItems</x:v>
      </x:c>
      <x:c r="AA1" s="259" t="str">
        <x:v>susScore</x:v>
      </x:c>
      <x:c r="AB1" s="259" t="str">
        <x:v>susComplete</x:v>
      </x:c>
      <x:c r="AC1" s="259" t="str">
        <x:v>susTotalRt</x:v>
      </x:c>
      <x:c r="AD1" s="259" t="str">
        <x:v>sus01</x:v>
      </x:c>
      <x:c r="AE1" s="259" t="str">
        <x:v>sus02</x:v>
      </x:c>
      <x:c r="AF1" s="259" t="str">
        <x:v>sus03</x:v>
      </x:c>
      <x:c r="AG1" s="259" t="str">
        <x:v>sus04</x:v>
      </x:c>
      <x:c r="AH1" s="259" t="str">
        <x:v>sus05</x:v>
      </x:c>
      <x:c r="AI1" s="259" t="str">
        <x:v>sus06</x:v>
      </x:c>
      <x:c r="AJ1" s="259" t="str">
        <x:v>sus07</x:v>
      </x:c>
      <x:c r="AK1" s="259" t="str">
        <x:v>sus08</x:v>
      </x:c>
      <x:c r="AL1" s="259" t="str">
        <x:v>sus09</x:v>
      </x:c>
      <x:c r="AM1" s="259" t="str">
        <x:v>sus10</x:v>
      </x:c>
      <x:c r="AN1" s="259" t="str">
        <x:v>easyPresentationOrder</x:v>
      </x:c>
      <x:c r="AO1" s="259" t="str">
        <x:v>easyForm</x:v>
      </x:c>
      <x:c r="AP1" s="259" t="str">
        <x:v>easyTaskTrials</x:v>
      </x:c>
      <x:c r="AQ1" s="259" t="str">
        <x:v>easyTaskCorrect</x:v>
      </x:c>
      <x:c r="AR1" s="259" t="str">
        <x:v>easyTaskAccuracy</x:v>
      </x:c>
      <x:c r="AS1" s="259" t="str">
        <x:v>easyTaskTimeouts</x:v>
      </x:c>
      <x:c r="AT1" s="259" t="str">
        <x:v>easyTaskMeanDecisionRt</x:v>
      </x:c>
      <x:c r="AU1" s="259" t="str">
        <x:v>easyTaskMedianDecisionRt</x:v>
      </x:c>
      <x:c r="AV1" s="259" t="str">
        <x:v>easyTaskSdDecisionRt</x:v>
      </x:c>
      <x:c r="AW1" s="259" t="str">
        <x:v>easyTaskTotalDecisionRt</x:v>
      </x:c>
      <x:c r="AX1" s="259" t="str">
        <x:v>easyTaskMeanPointerPath</x:v>
      </x:c>
      <x:c r="AY1" s="259" t="str">
        <x:v>easyTaskMeanPointerPeakSpeed</x:v>
      </x:c>
      <x:c r="AZ1" s="259" t="str">
        <x:v>easyTaskMeanHoverChanges</x:v>
      </x:c>
      <x:c r="BA1" s="259" t="str">
        <x:v>easyNasaResponseMode</x:v>
      </x:c>
      <x:c r="BB1" s="259" t="str">
        <x:v>easyNasaItems</x:v>
      </x:c>
      <x:c r="BC1" s="259" t="str">
        <x:v>easyNasaComplete</x:v>
      </x:c>
      <x:c r="BD1" s="259" t="str">
        <x:v>easyNasaMental</x:v>
      </x:c>
      <x:c r="BE1" s="259" t="str">
        <x:v>easyNasaPhysical</x:v>
      </x:c>
      <x:c r="BF1" s="259" t="str">
        <x:v>easyNasaTemporal</x:v>
      </x:c>
      <x:c r="BG1" s="259" t="str">
        <x:v>easyNasaPerformance</x:v>
      </x:c>
      <x:c r="BH1" s="259" t="str">
        <x:v>easyNasaEffort</x:v>
      </x:c>
      <x:c r="BI1" s="259" t="str">
        <x:v>easyNasaFrustration</x:v>
      </x:c>
      <x:c r="BJ1" s="259" t="str">
        <x:v>easyNasaRawMean</x:v>
      </x:c>
      <x:c r="BK1" s="259" t="str">
        <x:v>easyConfidenceComplete</x:v>
      </x:c>
      <x:c r="BL1" s="259" t="str">
        <x:v>easyConfidenceMean</x:v>
      </x:c>
      <x:c r="BM1" s="259" t="str">
        <x:v>easyConfidenceMental</x:v>
      </x:c>
      <x:c r="BN1" s="259" t="str">
        <x:v>easyConfidencePhysical</x:v>
      </x:c>
      <x:c r="BO1" s="259" t="str">
        <x:v>easyConfidenceTemporal</x:v>
      </x:c>
      <x:c r="BP1" s="259" t="str">
        <x:v>easyConfidencePerformance</x:v>
      </x:c>
      <x:c r="BQ1" s="259" t="str">
        <x:v>easyConfidenceEffort</x:v>
      </x:c>
      <x:c r="BR1" s="259" t="str">
        <x:v>easyConfidenceFrustration</x:v>
      </x:c>
      <x:c r="BS1" s="259" t="str">
        <x:v>easyQuestionnaireMeanReadRt</x:v>
      </x:c>
      <x:c r="BT1" s="259" t="str">
        <x:v>easyQuestionnaireMeanAnswerRt</x:v>
      </x:c>
      <x:c r="BU1" s="259" t="str">
        <x:v>easyQuestionnaireMeanAnswerDecisionRt</x:v>
      </x:c>
      <x:c r="BV1" s="259" t="str">
        <x:v>easyQuestionnaireMeanConfidenceRt</x:v>
      </x:c>
      <x:c r="BW1" s="259" t="str">
        <x:v>easyQuestionnaireTotalRt</x:v>
      </x:c>
      <x:c r="BX1" s="259" t="str">
        <x:v>easyAnswerConfirmAttempts</x:v>
      </x:c>
      <x:c r="BY1" s="259" t="str">
        <x:v>easyAnswerConfirmCancels</x:v>
      </x:c>
      <x:c r="BZ1" s="259" t="str">
        <x:v>hardPresentationOrder</x:v>
      </x:c>
      <x:c r="CA1" s="259" t="str">
        <x:v>hardForm</x:v>
      </x:c>
      <x:c r="CB1" s="259" t="str">
        <x:v>hardTaskTrials</x:v>
      </x:c>
      <x:c r="CC1" s="259" t="str">
        <x:v>hardTaskCorrect</x:v>
      </x:c>
      <x:c r="CD1" s="259" t="str">
        <x:v>hardTaskAccuracy</x:v>
      </x:c>
      <x:c r="CE1" s="259" t="str">
        <x:v>hardTaskTimeouts</x:v>
      </x:c>
      <x:c r="CF1" s="259" t="str">
        <x:v>hardTaskMeanDecisionRt</x:v>
      </x:c>
      <x:c r="CG1" s="259" t="str">
        <x:v>hardTaskMedianDecisionRt</x:v>
      </x:c>
      <x:c r="CH1" s="259" t="str">
        <x:v>hardTaskSdDecisionRt</x:v>
      </x:c>
      <x:c r="CI1" s="259" t="str">
        <x:v>hardTaskTotalDecisionRt</x:v>
      </x:c>
      <x:c r="CJ1" s="259" t="str">
        <x:v>hardTaskMeanPointerPath</x:v>
      </x:c>
      <x:c r="CK1" s="259" t="str">
        <x:v>hardTaskMeanPointerPeakSpeed</x:v>
      </x:c>
      <x:c r="CL1" s="259" t="str">
        <x:v>hardTaskMeanHoverChanges</x:v>
      </x:c>
      <x:c r="CM1" s="259" t="str">
        <x:v>hardNasaResponseMode</x:v>
      </x:c>
      <x:c r="CN1" s="259" t="str">
        <x:v>hardNasaItems</x:v>
      </x:c>
      <x:c r="CO1" s="259" t="str">
        <x:v>hardNasaComplete</x:v>
      </x:c>
      <x:c r="CP1" s="259" t="str">
        <x:v>hardNasaMental</x:v>
      </x:c>
      <x:c r="CQ1" s="259" t="str">
        <x:v>hardNasaPhysical</x:v>
      </x:c>
      <x:c r="CR1" s="259" t="str">
        <x:v>hardNasaTemporal</x:v>
      </x:c>
      <x:c r="CS1" s="259" t="str">
        <x:v>hardNasaPerformance</x:v>
      </x:c>
      <x:c r="CT1" s="259" t="str">
        <x:v>hardNasaEffort</x:v>
      </x:c>
      <x:c r="CU1" s="259" t="str">
        <x:v>hardNasaFrustration</x:v>
      </x:c>
      <x:c r="CV1" s="259" t="str">
        <x:v>hardNasaRawMean</x:v>
      </x:c>
      <x:c r="CW1" s="259" t="str">
        <x:v>hardConfidenceComplete</x:v>
      </x:c>
      <x:c r="CX1" s="259" t="str">
        <x:v>hardConfidenceMean</x:v>
      </x:c>
      <x:c r="CY1" s="259" t="str">
        <x:v>hardConfidenceMental</x:v>
      </x:c>
      <x:c r="CZ1" s="259" t="str">
        <x:v>hardConfidencePhysical</x:v>
      </x:c>
      <x:c r="DA1" s="259" t="str">
        <x:v>hardConfidenceTemporal</x:v>
      </x:c>
      <x:c r="DB1" s="259" t="str">
        <x:v>hardConfidencePerformance</x:v>
      </x:c>
      <x:c r="DC1" s="259" t="str">
        <x:v>hardConfidenceEffort</x:v>
      </x:c>
      <x:c r="DD1" s="259" t="str">
        <x:v>hardConfidenceFrustration</x:v>
      </x:c>
      <x:c r="DE1" s="259" t="str">
        <x:v>hardQuestionnaireMeanReadRt</x:v>
      </x:c>
      <x:c r="DF1" s="259" t="str">
        <x:v>hardQuestionnaireMeanAnswerRt</x:v>
      </x:c>
      <x:c r="DG1" s="259" t="str">
        <x:v>hardQuestionnaireMeanAnswerDecisionRt</x:v>
      </x:c>
      <x:c r="DH1" s="259" t="str">
        <x:v>hardQuestionnaireMeanConfidenceRt</x:v>
      </x:c>
      <x:c r="DI1" s="259" t="str">
        <x:v>hardQuestionnaireTotalRt</x:v>
      </x:c>
      <x:c r="DJ1" s="259" t="str">
        <x:v>hardAnswerConfirmAttempts</x:v>
      </x:c>
      <x:c r="DK1" s="260" t="str">
        <x:v>hardAnswerConfirmCancels</x:v>
      </x:c>
    </x:row>
    <x:row r="2">
      <x:c r="A2" s="261" t="str">
        <x:v>CAREXR_PAXSMComparison_AnalysisReady_v1</x:v>
      </x:c>
      <x:c r="B2" s="262" t="str">
        <x:v>P77777</x:v>
      </x:c>
      <x:c r="C2" s="262" t="str">
        <x:v>1</x:v>
      </x:c>
      <x:c r="D2" s="262" t="str">
        <x:v>PAXSMComparison</x:v>
      </x:c>
      <x:c r="E2" s="262" t="str">
        <x:v>20260719T072528Z_be6915</x:v>
      </x:c>
      <x:c r="F2" s="262" t="str">
        <x:v>A: PAXSM-E / Click-H / PAXSM-H / Click-E</x:v>
      </x:c>
      <x:c r="G2" s="262" t="str">
        <x:v>paxsm</x:v>
      </x:c>
      <x:c r="H2" s="262" t="str">
        <x:v>1</x:v>
      </x:c>
      <x:c r="I2" s="262" t="str">
        <x:v>1</x:v>
      </x:c>
      <x:c r="J2" s="262" t="str">
        <x:v>none</x:v>
      </x:c>
      <x:c r="K2" s="262" t="str">
        <x:v>completed</x:v>
      </x:c>
      <x:c r="L2" s="263" t="n">
        <x:v>46222.34646961805</x:v>
      </x:c>
      <x:c r="M2" s="262" t="str">
        <x:v>paxsm_main_scene_knobrig</x:v>
      </x:c>
      <x:c r="N2" s="262" t="str">
        <x:v>3</x:v>
      </x:c>
      <x:c r="O2" s="262" t="str">
        <x:v>3</x:v>
      </x:c>
      <x:c r="P2" s="262" t="str">
        <x:v>1.0000</x:v>
      </x:c>
      <x:c r="Q2" s="262" t="str">
        <x:v>0.0000</x:v>
      </x:c>
      <x:c r="R2" s="262" t="str">
        <x:v>0</x:v>
      </x:c>
      <x:c r="S2" s="262" t="str">
        <x:v>4.5072</x:v>
      </x:c>
      <x:c r="T2" s="262" t="str">
        <x:v>4.6075</x:v>
      </x:c>
      <x:c r="U2" s="262" t="str">
        <x:v>2</x:v>
      </x:c>
      <x:c r="V2" s="262" t="str">
        <x:v>1.6455</x:v>
      </x:c>
      <x:c r="W2" s="262" t="str">
        <x:v>3</x:v>
      </x:c>
      <x:c r="X2" s="262" t="str">
        <x:v>0</x:v>
      </x:c>
      <x:c r="Y2" s="262" t="str">
        <x:v>0</x:v>
      </x:c>
      <x:c r="Z2" s="262" t="str">
        <x:v>10</x:v>
      </x:c>
      <x:c r="AA2" s="262" t="str">
        <x:v>77.5000</x:v>
      </x:c>
      <x:c r="AB2" s="262" t="str">
        <x:v>1</x:v>
      </x:c>
      <x:c r="AC2" s="262" t="str">
        <x:v>70.7045</x:v>
      </x:c>
      <x:c r="AD2" s="262" t="str">
        <x:v>4</x:v>
      </x:c>
      <x:c r="AE2" s="262" t="str">
        <x:v>3</x:v>
      </x:c>
      <x:c r="AF2" s="262" t="str">
        <x:v>5</x:v>
      </x:c>
      <x:c r="AG2" s="262" t="str">
        <x:v>3</x:v>
      </x:c>
      <x:c r="AH2" s="262" t="str">
        <x:v>4</x:v>
      </x:c>
      <x:c r="AI2" s="262" t="str">
        <x:v>1</x:v>
      </x:c>
      <x:c r="AJ2" s="262" t="str">
        <x:v>5</x:v>
      </x:c>
      <x:c r="AK2" s="262" t="str">
        <x:v>3</x:v>
      </x:c>
      <x:c r="AL2" s="262" t="str">
        <x:v>5</x:v>
      </x:c>
      <x:c r="AM2" s="262" t="str">
        <x:v>2</x:v>
      </x:c>
      <x:c r="AN2" s="262" t="str">
        <x:v>1</x:v>
      </x:c>
      <x:c r="AO2" s="262" t="str">
        <x:v>A</x:v>
      </x:c>
      <x:c r="AP2" s="262" t="str">
        <x:v>4</x:v>
      </x:c>
      <x:c r="AQ2" s="262" t="str">
        <x:v>4</x:v>
      </x:c>
      <x:c r="AR2" s="262" t="str">
        <x:v>1.0000</x:v>
      </x:c>
      <x:c r="AS2" s="262" t="str">
        <x:v>0</x:v>
      </x:c>
      <x:c r="AT2" s="262" t="str">
        <x:v>1.7539</x:v>
      </x:c>
      <x:c r="AU2" s="262" t="str">
        <x:v>1.6839</x:v>
      </x:c>
      <x:c r="AV2" s="262" t="str">
        <x:v>0.6932</x:v>
      </x:c>
      <x:c r="AW2" s="262" t="str">
        <x:v>7.0155</x:v>
      </x:c>
      <x:c r="AX2" s="262" t="str">
        <x:v>1.9706</x:v>
      </x:c>
      <x:c r="AY2" s="262" t="str">
        <x:v>6.1741</x:v>
      </x:c>
      <x:c r="AZ2" s="262" t="str">
        <x:v>2.5000</x:v>
      </x:c>
      <x:c r="BA2" s="262" t="str">
        <x:v>paxsm_main_scene_knobrig</x:v>
      </x:c>
      <x:c r="BB2" s="262" t="str">
        <x:v>6</x:v>
      </x:c>
      <x:c r="BC2" s="262" t="str">
        <x:v>1</x:v>
      </x:c>
      <x:c r="BD2" s="262" t="str">
        <x:v>2.0000</x:v>
      </x:c>
      <x:c r="BE2" s="262" t="str">
        <x:v>1.0000</x:v>
      </x:c>
      <x:c r="BF2" s="262" t="str">
        <x:v>2.0000</x:v>
      </x:c>
      <x:c r="BG2" s="262" t="str">
        <x:v>21.0000</x:v>
      </x:c>
      <x:c r="BH2" s="262" t="str">
        <x:v>4.0000</x:v>
      </x:c>
      <x:c r="BI2" s="262" t="str">
        <x:v>1.0000</x:v>
      </x:c>
      <x:c r="BJ2" s="262" t="str">
        <x:v>5.1667</x:v>
      </x:c>
      <x:c r="BK2" s="262" t="str">
        <x:v>1</x:v>
      </x:c>
      <x:c r="BL2" s="262" t="str">
        <x:v>4.3333</x:v>
      </x:c>
      <x:c r="BM2" s="262" t="str">
        <x:v>5.0000</x:v>
      </x:c>
      <x:c r="BN2" s="262" t="str">
        <x:v>5.0000</x:v>
      </x:c>
      <x:c r="BO2" s="262" t="str">
        <x:v>5.0000</x:v>
      </x:c>
      <x:c r="BP2" s="262" t="str">
        <x:v>5.0000</x:v>
      </x:c>
      <x:c r="BQ2" s="262" t="str">
        <x:v>5.0000</x:v>
      </x:c>
      <x:c r="BR2" s="262" t="str">
        <x:v>1.0000</x:v>
      </x:c>
      <x:c r="BS2" s="262" t="str">
        <x:v>1.9767</x:v>
      </x:c>
      <x:c r="BT2" s="262" t="str">
        <x:v>6.8007</x:v>
      </x:c>
      <x:c r="BU2" s="262" t="str">
        <x:v>5.9932</x:v>
      </x:c>
      <x:c r="BV2" s="262" t="str">
        <x:v>3.9704</x:v>
      </x:c>
      <x:c r="BW2" s="262" t="str">
        <x:v>76.4867</x:v>
      </x:c>
      <x:c r="BX2" s="262" t="str">
        <x:v>6</x:v>
      </x:c>
      <x:c r="BY2" s="262" t="str">
        <x:v>0</x:v>
      </x:c>
      <x:c r="BZ2" s="262" t="str">
        <x:v>3</x:v>
      </x:c>
      <x:c r="CA2" s="262" t="str">
        <x:v>B</x:v>
      </x:c>
      <x:c r="CB2" s="262" t="str">
        <x:v>4</x:v>
      </x:c>
      <x:c r="CC2" s="262" t="str">
        <x:v>3</x:v>
      </x:c>
      <x:c r="CD2" s="262" t="str">
        <x:v>0.7500</x:v>
      </x:c>
      <x:c r="CE2" s="262" t="str">
        <x:v>0</x:v>
      </x:c>
      <x:c r="CF2" s="262" t="str">
        <x:v>6.4113</x:v>
      </x:c>
      <x:c r="CG2" s="262" t="str">
        <x:v>6.3067</x:v>
      </x:c>
      <x:c r="CH2" s="262" t="str">
        <x:v>1.6335</x:v>
      </x:c>
      <x:c r="CI2" s="262" t="str">
        <x:v>25.6454</x:v>
      </x:c>
      <x:c r="CJ2" s="262" t="str">
        <x:v>2.1278</x:v>
      </x:c>
      <x:c r="CK2" s="262" t="str">
        <x:v>5.3039</x:v>
      </x:c>
      <x:c r="CL2" s="262" t="str">
        <x:v>2.0000</x:v>
      </x:c>
      <x:c r="CM2" s="262" t="str">
        <x:v>paxsm_main_scene_knobrig</x:v>
      </x:c>
      <x:c r="CN2" s="262" t="str">
        <x:v>6</x:v>
      </x:c>
      <x:c r="CO2" s="262" t="str">
        <x:v>1</x:v>
      </x:c>
      <x:c r="CP2" s="262" t="str">
        <x:v>17.0000</x:v>
      </x:c>
      <x:c r="CQ2" s="262" t="str">
        <x:v>1.0000</x:v>
      </x:c>
      <x:c r="CR2" s="262" t="str">
        <x:v>15.0000</x:v>
      </x:c>
      <x:c r="CS2" s="262" t="str">
        <x:v>21.0000</x:v>
      </x:c>
      <x:c r="CT2" s="262" t="str">
        <x:v>19.0000</x:v>
      </x:c>
      <x:c r="CU2" s="262" t="str">
        <x:v>1.0000</x:v>
      </x:c>
      <x:c r="CV2" s="262" t="str">
        <x:v>12.3333</x:v>
      </x:c>
      <x:c r="CW2" s="262" t="str">
        <x:v>1</x:v>
      </x:c>
      <x:c r="CX2" s="262" t="str">
        <x:v>5.0000</x:v>
      </x:c>
      <x:c r="CY2" s="262" t="str">
        <x:v>5.0000</x:v>
      </x:c>
      <x:c r="CZ2" s="262" t="str">
        <x:v>5.0000</x:v>
      </x:c>
      <x:c r="DA2" s="262" t="str">
        <x:v>5.0000</x:v>
      </x:c>
      <x:c r="DB2" s="262" t="str">
        <x:v>5.0000</x:v>
      </x:c>
      <x:c r="DC2" s="262" t="str">
        <x:v>5.0000</x:v>
      </x:c>
      <x:c r="DD2" s="262" t="str">
        <x:v>5.0000</x:v>
      </x:c>
      <x:c r="DE2" s="262" t="str">
        <x:v>1.2177</x:v>
      </x:c>
      <x:c r="DF2" s="262" t="str">
        <x:v>6.0957</x:v>
      </x:c>
      <x:c r="DG2" s="262" t="str">
        <x:v>5.2888</x:v>
      </x:c>
      <x:c r="DH2" s="262" t="str">
        <x:v>3.4487</x:v>
      </x:c>
      <x:c r="DI2" s="262" t="str">
        <x:v>64.5728</x:v>
      </x:c>
      <x:c r="DJ2" s="262" t="str">
        <x:v>6</x:v>
      </x:c>
      <x:c r="DK2" s="264" t="str">
        <x:v>0</x:v>
      </x:c>
    </x:row>
    <x:row r="3">
      <x:c r="A3" s="265" t="str">
        <x:v>CAREXR_PAXSMComparison_AnalysisReady_v1</x:v>
      </x:c>
      <x:c r="B3" s="266" t="str">
        <x:v>P77777</x:v>
      </x:c>
      <x:c r="C3" s="266" t="str">
        <x:v>1</x:v>
      </x:c>
      <x:c r="D3" s="266" t="str">
        <x:v>PAXSMComparison</x:v>
      </x:c>
      <x:c r="E3" s="266" t="str">
        <x:v>20260719T072528Z_be6915</x:v>
      </x:c>
      <x:c r="F3" s="266" t="str">
        <x:v>A: PAXSM-E / Click-H / PAXSM-H / Click-E</x:v>
      </x:c>
      <x:c r="G3" s="266" t="str">
        <x:v>point_click</x:v>
      </x:c>
      <x:c r="H3" s="266" t="str">
        <x:v>2</x:v>
      </x:c>
      <x:c r="I3" s="266" t="str">
        <x:v>1</x:v>
      </x:c>
      <x:c r="J3" s="266" t="str">
        <x:v>none</x:v>
      </x:c>
      <x:c r="K3" s="266" t="str">
        <x:v>completed</x:v>
      </x:c>
      <x:c r="L3" s="267" t="n">
        <x:v>46222.34646961805</x:v>
      </x:c>
      <x:c r="M3" s="266" t="str">
        <x:v>point_and_click_ray</x:v>
      </x:c>
      <x:c r="N3" s="266" t="str">
        <x:v>3</x:v>
      </x:c>
      <x:c r="O3" s="266" t="str">
        <x:v>3</x:v>
      </x:c>
      <x:c r="P3" s="266" t="str">
        <x:v>1.0000</x:v>
      </x:c>
      <x:c r="Q3" s="266" t="str">
        <x:v>0.0000</x:v>
      </x:c>
      <x:c r="R3" s="266" t="str">
        <x:v>0</x:v>
      </x:c>
      <x:c r="S3" s="266" t="str">
        <x:v>2.5018</x:v>
      </x:c>
      <x:c r="T3" s="266" t="str">
        <x:v>2.8550</x:v>
      </x:c>
      <x:c r="U3" s="266" t="str">
        <x:v>3</x:v>
      </x:c>
      <x:c r="V3" s="266" t="str">
        <x:v>0.4267</x:v>
      </x:c>
      <x:c r="W3" s="266" t="str">
        <x:v>3</x:v>
      </x:c>
      <x:c r="X3" s="266" t="str">
        <x:v>0</x:v>
      </x:c>
      <x:c r="Y3" s="266" t="str">
        <x:v>0</x:v>
      </x:c>
      <x:c r="Z3" s="266" t="str">
        <x:v>10</x:v>
      </x:c>
      <x:c r="AA3" s="266" t="str">
        <x:v>85.0000</x:v>
      </x:c>
      <x:c r="AB3" s="266" t="str">
        <x:v>1</x:v>
      </x:c>
      <x:c r="AC3" s="266" t="str">
        <x:v>57.6786</x:v>
      </x:c>
      <x:c r="AD3" s="266" t="str">
        <x:v>4</x:v>
      </x:c>
      <x:c r="AE3" s="266" t="str">
        <x:v>2</x:v>
      </x:c>
      <x:c r="AF3" s="266" t="str">
        <x:v>5</x:v>
      </x:c>
      <x:c r="AG3" s="266" t="str">
        <x:v>1</x:v>
      </x:c>
      <x:c r="AH3" s="266" t="str">
        <x:v>5</x:v>
      </x:c>
      <x:c r="AI3" s="266" t="str">
        <x:v>3</x:v>
      </x:c>
      <x:c r="AJ3" s="266" t="str">
        <x:v>5</x:v>
      </x:c>
      <x:c r="AK3" s="266" t="str">
        <x:v>3</x:v>
      </x:c>
      <x:c r="AL3" s="266" t="str">
        <x:v>5</x:v>
      </x:c>
      <x:c r="AM3" s="266" t="str">
        <x:v>1</x:v>
      </x:c>
      <x:c r="AN3" s="266" t="str">
        <x:v>4</x:v>
      </x:c>
      <x:c r="AO3" s="266" t="str">
        <x:v>B</x:v>
      </x:c>
      <x:c r="AP3" s="266" t="str">
        <x:v>4</x:v>
      </x:c>
      <x:c r="AQ3" s="266" t="str">
        <x:v>4</x:v>
      </x:c>
      <x:c r="AR3" s="266" t="str">
        <x:v>1.0000</x:v>
      </x:c>
      <x:c r="AS3" s="266" t="str">
        <x:v>0</x:v>
      </x:c>
      <x:c r="AT3" s="266" t="str">
        <x:v>1.7681</x:v>
      </x:c>
      <x:c r="AU3" s="266" t="str">
        <x:v>1.7262</x:v>
      </x:c>
      <x:c r="AV3" s="266" t="str">
        <x:v>0.3945</x:v>
      </x:c>
      <x:c r="AW3" s="266" t="str">
        <x:v>7.0722</x:v>
      </x:c>
      <x:c r="AX3" s="266" t="str">
        <x:v>1.4593</x:v>
      </x:c>
      <x:c r="AY3" s="266" t="str">
        <x:v>5.7607</x:v>
      </x:c>
      <x:c r="AZ3" s="266" t="str">
        <x:v>1.7500</x:v>
      </x:c>
      <x:c r="BA3" s="266" t="str">
        <x:v>point_and_click_ray</x:v>
      </x:c>
      <x:c r="BB3" s="266" t="str">
        <x:v>6</x:v>
      </x:c>
      <x:c r="BC3" s="266" t="str">
        <x:v>1</x:v>
      </x:c>
      <x:c r="BD3" s="266" t="str">
        <x:v>3.0000</x:v>
      </x:c>
      <x:c r="BE3" s="266" t="str">
        <x:v>2.0000</x:v>
      </x:c>
      <x:c r="BF3" s="266" t="str">
        <x:v>6.0000</x:v>
      </x:c>
      <x:c r="BG3" s="266" t="str">
        <x:v>21.0000</x:v>
      </x:c>
      <x:c r="BH3" s="266" t="str">
        <x:v>11.0000</x:v>
      </x:c>
      <x:c r="BI3" s="266" t="str">
        <x:v>21.0000</x:v>
      </x:c>
      <x:c r="BJ3" s="266" t="str">
        <x:v>10.6667</x:v>
      </x:c>
      <x:c r="BK3" s="266" t="str">
        <x:v>1</x:v>
      </x:c>
      <x:c r="BL3" s="266" t="str">
        <x:v>4.0000</x:v>
      </x:c>
      <x:c r="BM3" s="266" t="str">
        <x:v>5.0000</x:v>
      </x:c>
      <x:c r="BN3" s="266" t="str">
        <x:v>5.0000</x:v>
      </x:c>
      <x:c r="BO3" s="266" t="str">
        <x:v>4.0000</x:v>
      </x:c>
      <x:c r="BP3" s="266" t="str">
        <x:v>5.0000</x:v>
      </x:c>
      <x:c r="BQ3" s="266" t="str">
        <x:v>4.0000</x:v>
      </x:c>
      <x:c r="BR3" s="266" t="str">
        <x:v>1.0000</x:v>
      </x:c>
      <x:c r="BS3" s="266" t="str">
        <x:v>0.8451</x:v>
      </x:c>
      <x:c r="BT3" s="266" t="str">
        <x:v>4.8327</x:v>
      </x:c>
      <x:c r="BU3" s="266" t="str">
        <x:v>4.8327</x:v>
      </x:c>
      <x:c r="BV3" s="266" t="str">
        <x:v>5.0349</x:v>
      </x:c>
      <x:c r="BW3" s="266" t="str">
        <x:v>64.2767</x:v>
      </x:c>
      <x:c r="BX3" s="266" t="str">
        <x:v>6</x:v>
      </x:c>
      <x:c r="BY3" s="266" t="str">
        <x:v>0</x:v>
      </x:c>
      <x:c r="BZ3" s="266" t="str">
        <x:v>2</x:v>
      </x:c>
      <x:c r="CA3" s="266" t="str">
        <x:v>A</x:v>
      </x:c>
      <x:c r="CB3" s="266" t="str">
        <x:v>4</x:v>
      </x:c>
      <x:c r="CC3" s="266" t="str">
        <x:v>3</x:v>
      </x:c>
      <x:c r="CD3" s="266" t="str">
        <x:v>0.7500</x:v>
      </x:c>
      <x:c r="CE3" s="266" t="str">
        <x:v>0</x:v>
      </x:c>
      <x:c r="CF3" s="266" t="str">
        <x:v>5.4551</x:v>
      </x:c>
      <x:c r="CG3" s="266" t="str">
        <x:v>5.2290</x:v>
      </x:c>
      <x:c r="CH3" s="266" t="str">
        <x:v>2.4366</x:v>
      </x:c>
      <x:c r="CI3" s="266" t="str">
        <x:v>21.8206</x:v>
      </x:c>
      <x:c r="CJ3" s="266" t="str">
        <x:v>1.9545</x:v>
      </x:c>
      <x:c r="CK3" s="266" t="str">
        <x:v>5.7304</x:v>
      </x:c>
      <x:c r="CL3" s="266" t="str">
        <x:v>2.0000</x:v>
      </x:c>
      <x:c r="CM3" s="266" t="str">
        <x:v>point_and_click_ray</x:v>
      </x:c>
      <x:c r="CN3" s="266" t="str">
        <x:v>6</x:v>
      </x:c>
      <x:c r="CO3" s="266" t="str">
        <x:v>1</x:v>
      </x:c>
      <x:c r="CP3" s="266" t="str">
        <x:v>13.0000</x:v>
      </x:c>
      <x:c r="CQ3" s="266" t="str">
        <x:v>11.0000</x:v>
      </x:c>
      <x:c r="CR3" s="266" t="str">
        <x:v>8.0000</x:v>
      </x:c>
      <x:c r="CS3" s="266" t="str">
        <x:v>21.0000</x:v>
      </x:c>
      <x:c r="CT3" s="266" t="str">
        <x:v>13.0000</x:v>
      </x:c>
      <x:c r="CU3" s="266" t="str">
        <x:v>2.0000</x:v>
      </x:c>
      <x:c r="CV3" s="266" t="str">
        <x:v>11.3333</x:v>
      </x:c>
      <x:c r="CW3" s="266" t="str">
        <x:v>1</x:v>
      </x:c>
      <x:c r="CX3" s="266" t="str">
        <x:v>4.5000</x:v>
      </x:c>
      <x:c r="CY3" s="266" t="str">
        <x:v>4.0000</x:v>
      </x:c>
      <x:c r="CZ3" s="266" t="str">
        <x:v>5.0000</x:v>
      </x:c>
      <x:c r="DA3" s="266" t="str">
        <x:v>3.0000</x:v>
      </x:c>
      <x:c r="DB3" s="266" t="str">
        <x:v>5.0000</x:v>
      </x:c>
      <x:c r="DC3" s="266" t="str">
        <x:v>5.0000</x:v>
      </x:c>
      <x:c r="DD3" s="266" t="str">
        <x:v>5.0000</x:v>
      </x:c>
      <x:c r="DE3" s="266" t="str">
        <x:v>1.9723</x:v>
      </x:c>
      <x:c r="DF3" s="266" t="str">
        <x:v>4.5484</x:v>
      </x:c>
      <x:c r="DG3" s="266" t="str">
        <x:v>4.5484</x:v>
      </x:c>
      <x:c r="DH3" s="266" t="str">
        <x:v>4.4227</x:v>
      </x:c>
      <x:c r="DI3" s="266" t="str">
        <x:v>65.6603</x:v>
      </x:c>
      <x:c r="DJ3" s="266" t="str">
        <x:v>6</x:v>
      </x:c>
      <x:c r="DK3" s="268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7d660bf53144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17" hidden="0" customWidth="1"/>
    <x:col min="4" max="4" width="27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</x:cols>
  <x:sheetData>
    <x:row r="1" ht="34" customHeight="1">
      <x:c r="A1" s="174" t="str">
        <x:v>PAXSM Comparison Study | Participant Summary</x:v>
      </x:c>
      <x:c r="B1" s="174" t="str">
        <x:v>PAXSM Comparison Study | Participant Summary</x:v>
      </x:c>
      <x:c r="C1" s="174" t="str">
        <x:v>PAXSM Comparison Study | Participant Summary</x:v>
      </x:c>
      <x:c r="D1" s="174" t="str">
        <x:v>PAXSM Comparison Study | Participant Summary</x:v>
      </x:c>
      <x:c r="E1" s="174" t="str">
        <x:v>PAXSM Comparison Study | Participant Summary</x:v>
      </x:c>
      <x:c r="F1" s="174" t="str">
        <x:v>PAXSM Comparison Study | Participant Summary</x:v>
      </x:c>
      <x:c r="G1" s="174" t="str">
        <x:v>PAXSM Comparison Study | Participant Summary</x:v>
      </x:c>
      <x:c r="H1" s="175"/>
    </x:row>
    <x:row r="2">
      <x:c r="A2" s="176"/>
      <x:c r="B2" s="176"/>
      <x:c r="C2" s="176"/>
      <x:c r="D2" s="176"/>
      <x:c r="E2" s="176"/>
      <x:c r="F2" s="176"/>
      <x:c r="G2" s="176"/>
      <x:c r="H2" s="176"/>
    </x:row>
    <x:row r="3" ht="30" customHeight="1">
      <x:c r="A3" s="54" t="str">
        <x:v>Participant</x:v>
      </x:c>
      <x:c r="B3" s="33" t="str">
        <x:f>'Analysis Ready'!B2</x:f>
        <x:v>P77777</x:v>
      </x:c>
      <x:c r="C3" s="58" t="str">
        <x:v>Run ID</x:v>
      </x:c>
      <x:c r="D3" s="33" t="str">
        <x:f>'Analysis Ready'!E2</x:f>
        <x:v>20260719T072528Z_be6915</x:v>
      </x:c>
      <x:c r="E3" s="58" t="str">
        <x:v>Sequence</x:v>
      </x:c>
      <x:c r="F3" s="33" t="str">
        <x:f>'Analysis Ready'!F2</x:f>
        <x:v>A: PAXSM-E / Click-H / PAXSM-H / Click-E</x:v>
      </x:c>
      <x:c r="G3" s="58" t="str">
        <x:v>Session</x:v>
      </x:c>
      <x:c r="H3" s="34" t="str">
        <x:f>'Analysis Ready'!C2</x:f>
        <x:v>1</x:v>
      </x:c>
    </x:row>
    <x:row r="4" ht="30" customHeight="1">
      <x:c r="A4" s="55" t="str">
        <x:v>Generated (UTC)</x:v>
      </x:c>
      <x:c r="B4" s="36" t="n">
        <x:f>'Analysis Ready'!L2</x:f>
        <x:v>46222.34646961805</x:v>
      </x:c>
      <x:c r="C4" s="59" t="str">
        <x:v>PAXSM quality</x:v>
      </x:c>
      <x:c r="D4" s="37" t="str">
        <x:f>'Analysis Ready'!J2</x:f>
        <x:v>none</x:v>
      </x:c>
      <x:c r="E4" s="59" t="str">
        <x:v>Point-click quality</x:v>
      </x:c>
      <x:c r="F4" s="37" t="str">
        <x:f>'Analysis Ready'!J3</x:f>
        <x:v>none</x:v>
      </x:c>
      <x:c r="G4" s="59" t="str">
        <x:v>Export reason</x:v>
      </x:c>
      <x:c r="H4" s="38" t="str">
        <x:f>'Analysis Ready'!K2</x:f>
        <x:v>completed</x:v>
      </x:c>
    </x:row>
    <x:row r="5">
      <x:c r="A5" s="176"/>
      <x:c r="B5" s="176"/>
      <x:c r="C5" s="176"/>
      <x:c r="D5" s="176"/>
      <x:c r="E5" s="176"/>
      <x:c r="F5" s="176"/>
      <x:c r="G5" s="176"/>
      <x:c r="H5" s="176"/>
    </x:row>
    <x:row r="6">
      <x:c r="A6" s="186" t="str">
        <x:v>Core Comparison Outcomes</x:v>
      </x:c>
      <x:c r="B6" s="186" t="str">
        <x:v>Core Comparison Outcomes</x:v>
      </x:c>
      <x:c r="C6" s="186" t="str">
        <x:v>Core Comparison Outcomes</x:v>
      </x:c>
      <x:c r="D6" s="186" t="str">
        <x:v>Core Comparison Outcomes</x:v>
      </x:c>
      <x:c r="E6" s="186" t="str">
        <x:v>Core Comparison Outcomes</x:v>
      </x:c>
      <x:c r="F6" s="176"/>
      <x:c r="G6" s="176"/>
      <x:c r="H6" s="176"/>
    </x:row>
    <x:row r="7">
      <x:c r="A7" s="187" t="str">
        <x:v>Metric</x:v>
      </x:c>
      <x:c r="B7" s="188" t="str">
        <x:v>PAXSM</x:v>
      </x:c>
      <x:c r="C7" s="188" t="str">
        <x:v>Point-and-click</x:v>
      </x:c>
      <x:c r="D7" s="188" t="str">
        <x:v>Difference</x:v>
      </x:c>
      <x:c r="E7" s="189" t="str">
        <x:v>Interpretation / unit</x:v>
      </x:c>
      <x:c r="F7" s="176"/>
      <x:c r="G7" s="176"/>
      <x:c r="H7" s="176"/>
    </x:row>
    <x:row r="8">
      <x:c r="A8" s="190" t="str">
        <x:v>Input accuracy</x:v>
      </x:c>
      <x:c r="B8" s="191" t="str">
        <x:f>'Analysis Ready'!P2</x:f>
        <x:v>1.0000</x:v>
      </x:c>
      <x:c r="C8" s="191" t="str">
        <x:f>'Analysis Ready'!P3</x:f>
        <x:v>1.0000</x:v>
      </x:c>
      <x:c r="D8" s="191" t="n">
        <x:f>B8-C8</x:f>
        <x:v>0</x:v>
      </x:c>
      <x:c r="E8" s="192" t="str">
        <x:v>percentage</x:v>
      </x:c>
      <x:c r="F8" s="176"/>
      <x:c r="G8" s="176"/>
      <x:c r="H8" s="176"/>
    </x:row>
    <x:row r="9">
      <x:c r="A9" s="190" t="str">
        <x:v>Input mean answer RT</x:v>
      </x:c>
      <x:c r="B9" s="193" t="str">
        <x:f>'Analysis Ready'!S2</x:f>
        <x:v>4.5072</x:v>
      </x:c>
      <x:c r="C9" s="193" t="str">
        <x:f>'Analysis Ready'!S3</x:f>
        <x:v>2.5018</x:v>
      </x:c>
      <x:c r="D9" s="193" t="n">
        <x:f>B9-C9</x:f>
        <x:v>2.0054000000000003</x:v>
      </x:c>
      <x:c r="E9" s="192" t="str">
        <x:v>seconds</x:v>
      </x:c>
      <x:c r="F9" s="176"/>
      <x:c r="G9" s="176"/>
      <x:c r="H9" s="176"/>
    </x:row>
    <x:row r="10">
      <x:c r="A10" s="190" t="str">
        <x:v>SUS score</x:v>
      </x:c>
      <x:c r="B10" s="193" t="str">
        <x:f>'Analysis Ready'!AA2</x:f>
        <x:v>77.5000</x:v>
      </x:c>
      <x:c r="C10" s="193" t="str">
        <x:f>'Analysis Ready'!AA3</x:f>
        <x:v>85.0000</x:v>
      </x:c>
      <x:c r="D10" s="193" t="n">
        <x:f>B10-C10</x:f>
        <x:v>-7.5</x:v>
      </x:c>
      <x:c r="E10" s="192" t="str">
        <x:v>0-100</x:v>
      </x:c>
      <x:c r="F10" s="176"/>
      <x:c r="G10" s="176"/>
      <x:c r="H10" s="176"/>
    </x:row>
    <x:row r="11">
      <x:c r="A11" s="190" t="str">
        <x:v>Easy task accuracy</x:v>
      </x:c>
      <x:c r="B11" s="191" t="str">
        <x:f>'Analysis Ready'!AR2</x:f>
        <x:v>1.0000</x:v>
      </x:c>
      <x:c r="C11" s="191" t="str">
        <x:f>'Analysis Ready'!AR3</x:f>
        <x:v>1.0000</x:v>
      </x:c>
      <x:c r="D11" s="191" t="n">
        <x:f>B11-C11</x:f>
        <x:v>0</x:v>
      </x:c>
      <x:c r="E11" s="192" t="str">
        <x:v>percentage</x:v>
      </x:c>
      <x:c r="F11" s="176"/>
      <x:c r="G11" s="176"/>
      <x:c r="H11" s="176"/>
    </x:row>
    <x:row r="12">
      <x:c r="A12" s="190" t="str">
        <x:v>Hard task accuracy</x:v>
      </x:c>
      <x:c r="B12" s="191" t="str">
        <x:f>'Analysis Ready'!CD2</x:f>
        <x:v>0.7500</x:v>
      </x:c>
      <x:c r="C12" s="191" t="str">
        <x:f>'Analysis Ready'!CD3</x:f>
        <x:v>0.7500</x:v>
      </x:c>
      <x:c r="D12" s="191" t="n">
        <x:f>B12-C12</x:f>
        <x:v>0</x:v>
      </x:c>
      <x:c r="E12" s="192" t="str">
        <x:v>percentage</x:v>
      </x:c>
      <x:c r="F12" s="176"/>
      <x:c r="G12" s="176"/>
      <x:c r="H12" s="176"/>
    </x:row>
    <x:row r="13">
      <x:c r="A13" s="190" t="str">
        <x:v>Easy task mean decision RT</x:v>
      </x:c>
      <x:c r="B13" s="193" t="str">
        <x:f>'Analysis Ready'!AT2</x:f>
        <x:v>1.7539</x:v>
      </x:c>
      <x:c r="C13" s="193" t="str">
        <x:f>'Analysis Ready'!AT3</x:f>
        <x:v>1.7681</x:v>
      </x:c>
      <x:c r="D13" s="193" t="n">
        <x:f>B13-C13</x:f>
        <x:v>-0.01419999999999999</x:v>
      </x:c>
      <x:c r="E13" s="192" t="str">
        <x:v>seconds</x:v>
      </x:c>
      <x:c r="F13" s="176"/>
      <x:c r="G13" s="176"/>
      <x:c r="H13" s="176"/>
    </x:row>
    <x:row r="14">
      <x:c r="A14" s="190" t="str">
        <x:v>Hard task mean decision RT</x:v>
      </x:c>
      <x:c r="B14" s="193" t="str">
        <x:f>'Analysis Ready'!CF2</x:f>
        <x:v>6.4113</x:v>
      </x:c>
      <x:c r="C14" s="193" t="str">
        <x:f>'Analysis Ready'!CF3</x:f>
        <x:v>5.4551</x:v>
      </x:c>
      <x:c r="D14" s="193" t="n">
        <x:f>B14-C14</x:f>
        <x:v>0.9561999999999999</x:v>
      </x:c>
      <x:c r="E14" s="192" t="str">
        <x:v>seconds</x:v>
      </x:c>
      <x:c r="F14" s="176"/>
      <x:c r="G14" s="176"/>
      <x:c r="H14" s="176"/>
    </x:row>
    <x:row r="15">
      <x:c r="A15" s="190" t="str">
        <x:v>Easy NASA-TLX raw mean</x:v>
      </x:c>
      <x:c r="B15" s="193" t="str">
        <x:f>'Analysis Ready'!BJ2</x:f>
        <x:v>5.1667</x:v>
      </x:c>
      <x:c r="C15" s="193" t="str">
        <x:f>'Analysis Ready'!BJ3</x:f>
        <x:v>10.6667</x:v>
      </x:c>
      <x:c r="D15" s="193" t="n">
        <x:f>B15-C15</x:f>
        <x:v>-5.500000000000001</x:v>
      </x:c>
      <x:c r="E15" s="192" t="str">
        <x:v>1-21</x:v>
      </x:c>
      <x:c r="F15" s="176"/>
      <x:c r="G15" s="176"/>
      <x:c r="H15" s="176"/>
    </x:row>
    <x:row r="16">
      <x:c r="A16" s="190" t="str">
        <x:v>Hard NASA-TLX raw mean</x:v>
      </x:c>
      <x:c r="B16" s="193" t="str">
        <x:f>'Analysis Ready'!CV2</x:f>
        <x:v>12.3333</x:v>
      </x:c>
      <x:c r="C16" s="193" t="str">
        <x:f>'Analysis Ready'!CV3</x:f>
        <x:v>11.3333</x:v>
      </x:c>
      <x:c r="D16" s="193" t="n">
        <x:f>B16-C16</x:f>
        <x:v>1</x:v>
      </x:c>
      <x:c r="E16" s="192" t="str">
        <x:v>1-21</x:v>
      </x:c>
      <x:c r="F16" s="176"/>
      <x:c r="G16" s="176"/>
      <x:c r="H16" s="176"/>
    </x:row>
    <x:row r="17">
      <x:c r="A17" s="190" t="str">
        <x:v>Easy mean confidence</x:v>
      </x:c>
      <x:c r="B17" s="193" t="str">
        <x:f>'Analysis Ready'!BL2</x:f>
        <x:v>4.3333</x:v>
      </x:c>
      <x:c r="C17" s="193" t="str">
        <x:f>'Analysis Ready'!BL3</x:f>
        <x:v>4.0000</x:v>
      </x:c>
      <x:c r="D17" s="193" t="n">
        <x:f>B17-C17</x:f>
        <x:v>0.3333000000000004</x:v>
      </x:c>
      <x:c r="E17" s="192" t="str">
        <x:v>1-5</x:v>
      </x:c>
      <x:c r="F17" s="176"/>
      <x:c r="G17" s="176"/>
      <x:c r="H17" s="176"/>
    </x:row>
    <x:row r="18">
      <x:c r="A18" s="190" t="str">
        <x:v>Hard mean confidence</x:v>
      </x:c>
      <x:c r="B18" s="193" t="str">
        <x:f>'Analysis Ready'!CX2</x:f>
        <x:v>5.0000</x:v>
      </x:c>
      <x:c r="C18" s="193" t="str">
        <x:f>'Analysis Ready'!CX3</x:f>
        <x:v>4.5000</x:v>
      </x:c>
      <x:c r="D18" s="193" t="n">
        <x:f>B18-C18</x:f>
        <x:v>0.5</x:v>
      </x:c>
      <x:c r="E18" s="192" t="str">
        <x:v>1-5</x:v>
      </x:c>
      <x:c r="F18" s="176"/>
      <x:c r="G18" s="176"/>
      <x:c r="H18" s="176"/>
    </x:row>
    <x:row r="19">
      <x:c r="A19" s="190" t="str">
        <x:v>Easy questionnaire total time</x:v>
      </x:c>
      <x:c r="B19" s="193" t="str">
        <x:f>'Analysis Ready'!BW2</x:f>
        <x:v>76.4867</x:v>
      </x:c>
      <x:c r="C19" s="193" t="str">
        <x:f>'Analysis Ready'!BW3</x:f>
        <x:v>64.2767</x:v>
      </x:c>
      <x:c r="D19" s="193" t="n">
        <x:f>B19-C19</x:f>
        <x:v>12.209999999999994</x:v>
      </x:c>
      <x:c r="E19" s="192" t="str">
        <x:v>seconds</x:v>
      </x:c>
      <x:c r="F19" s="176"/>
      <x:c r="G19" s="176"/>
      <x:c r="H19" s="176"/>
    </x:row>
    <x:row r="20">
      <x:c r="A20" s="190" t="str">
        <x:v>Hard questionnaire total time</x:v>
      </x:c>
      <x:c r="B20" s="193" t="str">
        <x:f>'Analysis Ready'!DI2</x:f>
        <x:v>64.5728</x:v>
      </x:c>
      <x:c r="C20" s="193" t="str">
        <x:f>'Analysis Ready'!DI3</x:f>
        <x:v>65.6603</x:v>
      </x:c>
      <x:c r="D20" s="193" t="n">
        <x:f>B20-C20</x:f>
        <x:v>-1.0875000000000057</x:v>
      </x:c>
      <x:c r="E20" s="192" t="str">
        <x:v>seconds</x:v>
      </x:c>
      <x:c r="F20" s="176"/>
      <x:c r="G20" s="176"/>
      <x:c r="H20" s="176"/>
    </x:row>
    <x:row r="21">
      <x:c r="A21" s="194" t="str">
        <x:v>Input incomplete items</x:v>
      </x:c>
      <x:c r="B21" s="195" t="str">
        <x:f>'Analysis Ready'!Y2</x:f>
        <x:v>0</x:v>
      </x:c>
      <x:c r="C21" s="195" t="str">
        <x:f>'Analysis Ready'!Y3</x:f>
        <x:v>0</x:v>
      </x:c>
      <x:c r="D21" s="195" t="n">
        <x:f>B21-C21</x:f>
        <x:v>0</x:v>
      </x:c>
      <x:c r="E21" s="185" t="str">
        <x:v>count</x:v>
      </x:c>
      <x:c r="F21" s="176"/>
      <x:c r="G21" s="176"/>
      <x:c r="H21" s="176"/>
    </x:row>
    <x:row r="22">
      <x:c r="A22" s="176"/>
      <x:c r="B22" s="176"/>
      <x:c r="C22" s="176"/>
      <x:c r="D22" s="176"/>
      <x:c r="E22" s="176"/>
      <x:c r="F22" s="176"/>
      <x:c r="G22" s="176"/>
      <x:c r="H22" s="176"/>
    </x:row>
    <x:row r="23">
      <x:c r="A23" s="176"/>
      <x:c r="B23" s="176"/>
      <x:c r="C23" s="176"/>
      <x:c r="D23" s="176"/>
      <x:c r="E23" s="176"/>
      <x:c r="F23" s="176"/>
      <x:c r="G23" s="176"/>
      <x:c r="H23" s="176"/>
    </x:row>
    <x:row r="24">
      <x:c r="A24" s="186" t="str">
        <x:v>NASA-TLX Dimension Ratings</x:v>
      </x:c>
      <x:c r="B24" s="186" t="str">
        <x:v>NASA-TLX Dimension Ratings</x:v>
      </x:c>
      <x:c r="C24" s="186" t="str">
        <x:v>NASA-TLX Dimension Ratings</x:v>
      </x:c>
      <x:c r="D24" s="186" t="str">
        <x:v>NASA-TLX Dimension Ratings</x:v>
      </x:c>
      <x:c r="E24" s="186" t="str">
        <x:v>NASA-TLX Dimension Ratings</x:v>
      </x:c>
      <x:c r="F24" s="186" t="str">
        <x:v>NASA-TLX Dimension Ratings</x:v>
      </x:c>
      <x:c r="G24" s="186" t="str">
        <x:v>NASA-TLX Dimension Ratings</x:v>
      </x:c>
      <x:c r="H24" s="176"/>
    </x:row>
    <x:row r="25">
      <x:c r="A25" s="187" t="str">
        <x:v>Dimension</x:v>
      </x:c>
      <x:c r="B25" s="188" t="str">
        <x:v>Easy PAXSM</x:v>
      </x:c>
      <x:c r="C25" s="188" t="str">
        <x:v>Easy point-click</x:v>
      </x:c>
      <x:c r="D25" s="188" t="str">
        <x:v>Easy difference</x:v>
      </x:c>
      <x:c r="E25" s="188" t="str">
        <x:v>Hard PAXSM</x:v>
      </x:c>
      <x:c r="F25" s="188" t="str">
        <x:v>Hard point-click</x:v>
      </x:c>
      <x:c r="G25" s="189" t="str">
        <x:v>Hard difference</x:v>
      </x:c>
      <x:c r="H25" s="176"/>
    </x:row>
    <x:row r="26">
      <x:c r="A26" s="190" t="str">
        <x:v>Mental demand</x:v>
      </x:c>
      <x:c r="B26" s="196" t="str">
        <x:f>'Analysis Ready'!BD2</x:f>
        <x:v>2.0000</x:v>
      </x:c>
      <x:c r="C26" s="196" t="str">
        <x:f>'Analysis Ready'!BD3</x:f>
        <x:v>3.0000</x:v>
      </x:c>
      <x:c r="D26" s="196" t="n">
        <x:f>B26-C26</x:f>
        <x:v>-1</x:v>
      </x:c>
      <x:c r="E26" s="196" t="str">
        <x:f>'Analysis Ready'!CP2</x:f>
        <x:v>17.0000</x:v>
      </x:c>
      <x:c r="F26" s="196" t="str">
        <x:f>'Analysis Ready'!CP3</x:f>
        <x:v>13.0000</x:v>
      </x:c>
      <x:c r="G26" s="197" t="n">
        <x:f>E26-F26</x:f>
        <x:v>4</x:v>
      </x:c>
      <x:c r="H26" s="176"/>
    </x:row>
    <x:row r="27">
      <x:c r="A27" s="190" t="str">
        <x:v>Physical demand</x:v>
      </x:c>
      <x:c r="B27" s="196" t="str">
        <x:f>'Analysis Ready'!BE2</x:f>
        <x:v>1.0000</x:v>
      </x:c>
      <x:c r="C27" s="196" t="str">
        <x:f>'Analysis Ready'!BE3</x:f>
        <x:v>2.0000</x:v>
      </x:c>
      <x:c r="D27" s="196" t="n">
        <x:f>B27-C27</x:f>
        <x:v>-1</x:v>
      </x:c>
      <x:c r="E27" s="196" t="str">
        <x:f>'Analysis Ready'!CQ2</x:f>
        <x:v>1.0000</x:v>
      </x:c>
      <x:c r="F27" s="196" t="str">
        <x:f>'Analysis Ready'!CQ3</x:f>
        <x:v>11.0000</x:v>
      </x:c>
      <x:c r="G27" s="197" t="n">
        <x:f>E27-F27</x:f>
        <x:v>-10</x:v>
      </x:c>
      <x:c r="H27" s="176"/>
    </x:row>
    <x:row r="28">
      <x:c r="A28" s="190" t="str">
        <x:v>Temporal demand</x:v>
      </x:c>
      <x:c r="B28" s="196" t="str">
        <x:f>'Analysis Ready'!BF2</x:f>
        <x:v>2.0000</x:v>
      </x:c>
      <x:c r="C28" s="196" t="str">
        <x:f>'Analysis Ready'!BF3</x:f>
        <x:v>6.0000</x:v>
      </x:c>
      <x:c r="D28" s="196" t="n">
        <x:f>B28-C28</x:f>
        <x:v>-4</x:v>
      </x:c>
      <x:c r="E28" s="196" t="str">
        <x:f>'Analysis Ready'!CR2</x:f>
        <x:v>15.0000</x:v>
      </x:c>
      <x:c r="F28" s="196" t="str">
        <x:f>'Analysis Ready'!CR3</x:f>
        <x:v>8.0000</x:v>
      </x:c>
      <x:c r="G28" s="197" t="n">
        <x:f>E28-F28</x:f>
        <x:v>7</x:v>
      </x:c>
      <x:c r="H28" s="176"/>
    </x:row>
    <x:row r="29">
      <x:c r="A29" s="190" t="str">
        <x:v>Performance</x:v>
      </x:c>
      <x:c r="B29" s="196" t="str">
        <x:f>'Analysis Ready'!BG2</x:f>
        <x:v>21.0000</x:v>
      </x:c>
      <x:c r="C29" s="196" t="str">
        <x:f>'Analysis Ready'!BG3</x:f>
        <x:v>21.0000</x:v>
      </x:c>
      <x:c r="D29" s="196" t="n">
        <x:f>B29-C29</x:f>
        <x:v>0</x:v>
      </x:c>
      <x:c r="E29" s="196" t="str">
        <x:f>'Analysis Ready'!CS2</x:f>
        <x:v>21.0000</x:v>
      </x:c>
      <x:c r="F29" s="196" t="str">
        <x:f>'Analysis Ready'!CS3</x:f>
        <x:v>21.0000</x:v>
      </x:c>
      <x:c r="G29" s="197" t="n">
        <x:f>E29-F29</x:f>
        <x:v>0</x:v>
      </x:c>
      <x:c r="H29" s="176"/>
    </x:row>
    <x:row r="30">
      <x:c r="A30" s="190" t="str">
        <x:v>Effort</x:v>
      </x:c>
      <x:c r="B30" s="196" t="str">
        <x:f>'Analysis Ready'!BH2</x:f>
        <x:v>4.0000</x:v>
      </x:c>
      <x:c r="C30" s="196" t="str">
        <x:f>'Analysis Ready'!BH3</x:f>
        <x:v>11.0000</x:v>
      </x:c>
      <x:c r="D30" s="196" t="n">
        <x:f>B30-C30</x:f>
        <x:v>-7</x:v>
      </x:c>
      <x:c r="E30" s="196" t="str">
        <x:f>'Analysis Ready'!CT2</x:f>
        <x:v>19.0000</x:v>
      </x:c>
      <x:c r="F30" s="196" t="str">
        <x:f>'Analysis Ready'!CT3</x:f>
        <x:v>13.0000</x:v>
      </x:c>
      <x:c r="G30" s="197" t="n">
        <x:f>E30-F30</x:f>
        <x:v>6</x:v>
      </x:c>
      <x:c r="H30" s="176"/>
    </x:row>
    <x:row r="31">
      <x:c r="A31" s="194" t="str">
        <x:v>Frustration</x:v>
      </x:c>
      <x:c r="B31" s="198" t="str">
        <x:f>'Analysis Ready'!BI2</x:f>
        <x:v>1.0000</x:v>
      </x:c>
      <x:c r="C31" s="198" t="str">
        <x:f>'Analysis Ready'!BI3</x:f>
        <x:v>21.0000</x:v>
      </x:c>
      <x:c r="D31" s="198" t="n">
        <x:f>B31-C31</x:f>
        <x:v>-20</x:v>
      </x:c>
      <x:c r="E31" s="198" t="str">
        <x:f>'Analysis Ready'!CU2</x:f>
        <x:v>1.0000</x:v>
      </x:c>
      <x:c r="F31" s="198" t="str">
        <x:f>'Analysis Ready'!CU3</x:f>
        <x:v>2.0000</x:v>
      </x:c>
      <x:c r="G31" s="199" t="n">
        <x:f>E31-F31</x:f>
        <x:v>-1</x:v>
      </x:c>
      <x:c r="H31" s="176"/>
    </x:row>
    <x:row r="32">
      <x:c r="A32" s="176"/>
      <x:c r="B32" s="176"/>
      <x:c r="C32" s="176"/>
      <x:c r="D32" s="176"/>
      <x:c r="E32" s="176"/>
      <x:c r="F32" s="176"/>
      <x:c r="G32" s="176"/>
      <x:c r="H32" s="176"/>
    </x:row>
    <x:row r="33">
      <x:c r="A33" s="176"/>
      <x:c r="B33" s="176"/>
      <x:c r="C33" s="176"/>
      <x:c r="D33" s="176"/>
      <x:c r="E33" s="176"/>
      <x:c r="F33" s="176"/>
      <x:c r="G33" s="176"/>
      <x:c r="H33" s="176"/>
    </x:row>
    <x:row r="34">
      <x:c r="A34" s="200" t="str">
        <x:v>Collection Completeness</x:v>
      </x:c>
      <x:c r="B34" s="200" t="str">
        <x:v>Collection Completeness</x:v>
      </x:c>
      <x:c r="C34" s="200" t="str">
        <x:v>Collection Completeness</x:v>
      </x:c>
      <x:c r="D34" s="200" t="str">
        <x:v>Collection Completeness</x:v>
      </x:c>
      <x:c r="E34" s="176"/>
      <x:c r="F34" s="176"/>
      <x:c r="G34" s="176"/>
      <x:c r="H34" s="176"/>
    </x:row>
    <x:row r="35">
      <x:c r="A35" s="201" t="str">
        <x:v>Check</x:v>
      </x:c>
      <x:c r="B35" s="202" t="str">
        <x:v>PAXSM</x:v>
      </x:c>
      <x:c r="C35" s="202" t="str">
        <x:v>Point-and-click</x:v>
      </x:c>
      <x:c r="D35" s="203" t="str">
        <x:v>Expected</x:v>
      </x:c>
      <x:c r="E35" s="176"/>
      <x:c r="F35" s="176"/>
      <x:c r="G35" s="176"/>
      <x:c r="H35" s="176"/>
    </x:row>
    <x:row r="36">
      <x:c r="A36" s="204" t="str">
        <x:v>Input items</x:v>
      </x:c>
      <x:c r="B36" s="205" t="str">
        <x:f>'Analysis Ready'!N2</x:f>
        <x:v>3</x:v>
      </x:c>
      <x:c r="C36" s="205" t="str">
        <x:f>'Analysis Ready'!N3</x:f>
        <x:v>3</x:v>
      </x:c>
      <x:c r="D36" s="206" t="n">
        <x:v>3</x:v>
      </x:c>
      <x:c r="E36" s="176"/>
      <x:c r="F36" s="176"/>
      <x:c r="G36" s="176"/>
      <x:c r="H36" s="176"/>
    </x:row>
    <x:row r="37">
      <x:c r="A37" s="204" t="str">
        <x:v>SUS answered items</x:v>
      </x:c>
      <x:c r="B37" s="205" t="str">
        <x:f>'Analysis Ready'!Z2</x:f>
        <x:v>10</x:v>
      </x:c>
      <x:c r="C37" s="205" t="str">
        <x:f>'Analysis Ready'!Z3</x:f>
        <x:v>10</x:v>
      </x:c>
      <x:c r="D37" s="206" t="n">
        <x:v>10</x:v>
      </x:c>
      <x:c r="E37" s="176"/>
      <x:c r="F37" s="176"/>
      <x:c r="G37" s="176"/>
      <x:c r="H37" s="176"/>
    </x:row>
    <x:row r="38">
      <x:c r="A38" s="204" t="str">
        <x:v>Easy NASA-TLX items</x:v>
      </x:c>
      <x:c r="B38" s="205" t="str">
        <x:f>'Analysis Ready'!BB2</x:f>
        <x:v>6</x:v>
      </x:c>
      <x:c r="C38" s="205" t="str">
        <x:f>'Analysis Ready'!BB3</x:f>
        <x:v>6</x:v>
      </x:c>
      <x:c r="D38" s="206" t="n">
        <x:v>6</x:v>
      </x:c>
      <x:c r="E38" s="176"/>
      <x:c r="F38" s="176"/>
      <x:c r="G38" s="176"/>
      <x:c r="H38" s="176"/>
    </x:row>
    <x:row r="39">
      <x:c r="A39" s="204" t="str">
        <x:v>Easy confidence complete</x:v>
      </x:c>
      <x:c r="B39" s="205" t="str">
        <x:f>'Analysis Ready'!BK2</x:f>
        <x:v>1</x:v>
      </x:c>
      <x:c r="C39" s="205" t="str">
        <x:f>'Analysis Ready'!BK3</x:f>
        <x:v>1</x:v>
      </x:c>
      <x:c r="D39" s="206" t="n">
        <x:v>1</x:v>
      </x:c>
      <x:c r="E39" s="176"/>
      <x:c r="F39" s="176"/>
      <x:c r="G39" s="176"/>
      <x:c r="H39" s="176"/>
    </x:row>
    <x:row r="40">
      <x:c r="A40" s="204" t="str">
        <x:v>Hard NASA-TLX items</x:v>
      </x:c>
      <x:c r="B40" s="205" t="str">
        <x:f>'Analysis Ready'!CN2</x:f>
        <x:v>6</x:v>
      </x:c>
      <x:c r="C40" s="205" t="str">
        <x:f>'Analysis Ready'!CN3</x:f>
        <x:v>6</x:v>
      </x:c>
      <x:c r="D40" s="206" t="n">
        <x:v>6</x:v>
      </x:c>
      <x:c r="E40" s="176"/>
      <x:c r="F40" s="176"/>
      <x:c r="G40" s="176"/>
      <x:c r="H40" s="176"/>
    </x:row>
    <x:row r="41">
      <x:c r="A41" s="204" t="str">
        <x:v>Hard confidence complete</x:v>
      </x:c>
      <x:c r="B41" s="205" t="str">
        <x:f>'Analysis Ready'!CW2</x:f>
        <x:v>1</x:v>
      </x:c>
      <x:c r="C41" s="205" t="str">
        <x:f>'Analysis Ready'!CW3</x:f>
        <x:v>1</x:v>
      </x:c>
      <x:c r="D41" s="206" t="n">
        <x:v>1</x:v>
      </x:c>
      <x:c r="E41" s="176"/>
      <x:c r="F41" s="176"/>
      <x:c r="G41" s="176"/>
      <x:c r="H41" s="176"/>
    </x:row>
    <x:row r="42">
      <x:c r="A42" s="207" t="str">
        <x:v>Method complete</x:v>
      </x:c>
      <x:c r="B42" s="208" t="str">
        <x:f>'Analysis Ready'!I2</x:f>
        <x:v>1</x:v>
      </x:c>
      <x:c r="C42" s="208" t="str">
        <x:f>'Analysis Ready'!I3</x:f>
        <x:v>1</x:v>
      </x:c>
      <x:c r="D42" s="209" t="n">
        <x:v>1</x:v>
      </x:c>
      <x:c r="E42" s="176"/>
      <x:c r="F42" s="176"/>
      <x:c r="G42" s="176"/>
      <x:c r="H42" s="176"/>
    </x:row>
    <x:row r="43">
      <x:c r="A43" s="176"/>
      <x:c r="B43" s="176"/>
      <x:c r="C43" s="176"/>
      <x:c r="D43" s="176"/>
      <x:c r="E43" s="176"/>
      <x:c r="F43" s="176"/>
      <x:c r="G43" s="176"/>
      <x:c r="H43" s="176"/>
    </x:row>
    <x:row r="44">
      <x:c r="A44" s="176"/>
      <x:c r="B44" s="176"/>
      <x:c r="C44" s="176"/>
      <x:c r="D44" s="176"/>
      <x:c r="E44" s="176"/>
      <x:c r="F44" s="176"/>
      <x:c r="G44" s="176"/>
      <x:c r="H44" s="176"/>
    </x:row>
    <x:row r="45">
      <x:c r="A45" s="176"/>
      <x:c r="B45" s="176"/>
      <x:c r="C45" s="176"/>
      <x:c r="D45" s="176"/>
      <x:c r="E45" s="176"/>
      <x:c r="F45" s="176"/>
      <x:c r="G45" s="176"/>
      <x:c r="H45" s="176"/>
    </x:row>
  </x:sheetData>
  <x:mergeCells>
    <x:mergeCell ref="A1:G1"/>
    <x:mergeCell ref="A6:E6"/>
    <x:mergeCell ref="A24:G24"/>
    <x:mergeCell ref="A34:D34"/>
  </x:mergeCells>
  <x:pageMargins left="0.7" right="0.7" top="0.75" bottom="0.75" header="0.3" footer="0.3"/>
</x:worksheet>
</file>